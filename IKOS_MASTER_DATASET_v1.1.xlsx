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974aef942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88d1298d3ea54e54"/>
    <x:sheet xmlns:r="http://schemas.openxmlformats.org/officeDocument/2006/relationships" name="01_SOURCE_LOG" sheetId="2" r:id="Ra804c8283ce34dab"/>
    <x:sheet xmlns:r="http://schemas.openxmlformats.org/officeDocument/2006/relationships" name="02_SECTOR_MASTER" sheetId="3" r:id="R01933d14f5ea4cb5"/>
    <x:sheet xmlns:r="http://schemas.openxmlformats.org/officeDocument/2006/relationships" name="03_OCCUPATION_MASTER" sheetId="4" r:id="R0357be52c3404a78"/>
    <x:sheet xmlns:r="http://schemas.openxmlformats.org/officeDocument/2006/relationships" name="04_SAKERNAS_AGG" sheetId="5" r:id="Rcbb9995c322f40d1"/>
    <x:sheet xmlns:r="http://schemas.openxmlformats.org/officeDocument/2006/relationships" name="05_SECTOR_OCC_CROSSWALK" sheetId="6" r:id="R3be049a880704b06"/>
    <x:sheet xmlns:r="http://schemas.openxmlformats.org/officeDocument/2006/relationships" name="06_INDICATORS_RAW" sheetId="7" r:id="Rc745bd41ba744ab3"/>
    <x:sheet xmlns:r="http://schemas.openxmlformats.org/officeDocument/2006/relationships" name="07_NORMALIZED" sheetId="8" r:id="Rfc01185e6aa34991"/>
    <x:sheet xmlns:r="http://schemas.openxmlformats.org/officeDocument/2006/relationships" name="08_WEIGHTS" sheetId="9" r:id="R7f97fa69524f43e3"/>
    <x:sheet xmlns:r="http://schemas.openxmlformats.org/officeDocument/2006/relationships" name="09_IKOS_SCORE" sheetId="10" r:id="R1332a8c178534754"/>
    <x:sheet xmlns:r="http://schemas.openxmlformats.org/officeDocument/2006/relationships" name="10_READINESS_OPTIONAL" sheetId="11" r:id="R2eabc22049ef4214"/>
    <x:sheet xmlns:r="http://schemas.openxmlformats.org/officeDocument/2006/relationships" name="11_DATA_QUALITY" sheetId="12" r:id="Ra1d21b0bc35c49f2"/>
    <x:sheet xmlns:r="http://schemas.openxmlformats.org/officeDocument/2006/relationships" name="12_DECISION_LOG" sheetId="13" r:id="Rebd41444122a41bc"/>
    <x:sheet xmlns:r="http://schemas.openxmlformats.org/officeDocument/2006/relationships" name="13_HISTORICAL_REF" sheetId="14" r:id="R830a4f52fa8b4730"/>
    <x:sheet xmlns:r="http://schemas.openxmlformats.org/officeDocument/2006/relationships" name="14_BPS_TABLE69" sheetId="15" r:id="Rb8be3259d603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dd mmm yyyy"/>
    <x:numFmt numFmtId="201" formatCode="0.00"/>
    <x:numFmt numFmtId="202" formatCode="0"/>
    <x:numFmt numFmtId="203" formatCode="@"/>
    <x:numFmt numFmtId="204" formatCode="#,##0.000"/>
    <x:numFmt numFmtId="205" formatCode="0.000000"/>
    <x:numFmt numFmtId="206" formatCode="0.000"/>
    <x:numFmt numFmtId="207" formatCode="0.0"/>
    <x:numFmt numFmtId="208" formatCode="#,##0"/>
  </x:numFmts>
  <x:fonts count="1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9C0006"/>
      <x:name val="Carlito"/>
    </x:font>
    <x:font>
      <x:i/>
      <x:sz val="11"/>
      <x:color rgb="FF9C5700"/>
      <x:name val="Carlito"/>
    </x:font>
    <x:font>
      <x:b/>
      <x:sz val="11"/>
      <x:color rgb="FF9C5700"/>
      <x:name val="Carlito"/>
    </x:font>
    <x:font>
      <x:b/>
      <x:sz val="10"/>
      <x:color rgb="FFFFFFFF"/>
      <x:name val="Aptos"/>
    </x:font>
    <x:font>
      <x:i/>
      <x:sz val="10"/>
      <x:color rgb="FF17365D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9C0006"/>
      <x:name val="Aptos"/>
    </x:font>
    <x:font>
      <x:i/>
      <x:sz val="10"/>
      <x:color rgb="FF9C5700"/>
      <x:name val="Aptos"/>
    </x:font>
    <x:font>
      <x:b/>
      <x:sz val="10"/>
      <x:color rgb="FF9C5700"/>
      <x:name val="Aptos"/>
    </x:font>
    <x:font>
      <x:b/>
      <x:sz val="20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4CCCC"/>
      </x:patternFill>
    </x:fill>
  </x:fills>
  <x:borders count="16">
    <x:border/>
    <x:border>
      <x:left style="thin">
        <x:color rgb="FFB7C9D6"/>
      </x:left>
      <x:right style="thin">
        <x:color rgb="FFD9E2F3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D9E2F3"/>
      </x:right>
      <x:top style="thin">
        <x:color rgb="FFB7C9D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7C9D6"/>
      </x:top>
      <x:bottom style="thin">
        <x:color rgb="FFD9E2F3"/>
      </x:bottom>
    </x:border>
    <x:border>
      <x:left style="thin">
        <x:color rgb="FFD9E2F3"/>
      </x:left>
      <x:right style="thin">
        <x:color rgb="FFB7C9D6"/>
      </x:right>
      <x:top style="thin">
        <x:color rgb="FFB7C9D6"/>
      </x:top>
      <x:bottom style="thin">
        <x:color rgb="FFD9E2F3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7C9D6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7C9D6"/>
      </x:bottom>
    </x:border>
    <x:border>
      <x:left style="thin">
        <x:color rgb="FFD9E2F3"/>
      </x:left>
      <x:right style="thin">
        <x:color rgb="FFB7C9D6"/>
      </x:right>
      <x:top style="thin">
        <x:color rgb="FFD9E2F3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D9E2F3"/>
      </x:top>
      <x:bottom style="thin">
        <x:color rgb="FFB7C9D6"/>
      </x:bottom>
    </x:border>
  </x:borders>
  <x:cellStyleXfs count="1">
    <x:xf numFmtId="0" fontId="0" fillId="0" borderId="0"/>
  </x:cellStyleXfs>
  <x:cellXfs count="3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/>
    <x:xf numFmtId="0" fontId="3" fillId="7" borderId="14" xfId="0" applyNumberFormat="1" applyFont="1" applyFill="1" applyBorder="1"/>
    <x:xf numFmtId="0" fontId="3" fillId="7" borderId="15" xfId="0" applyNumberFormat="1" applyFont="1" applyFill="1" applyBorder="1"/>
    <x:xf numFmtId="0" fontId="3" fillId="7" borderId="13" xfId="0" applyNumberFormat="1" applyFont="1" applyFill="1" applyBorder="1" applyAlignment="1">
      <x:alignment horizontal="center"/>
    </x:xf>
    <x:xf numFmtId="0" fontId="3" fillId="7" borderId="14" xfId="0" applyNumberFormat="1" applyFont="1" applyFill="1" applyBorder="1" applyAlignment="1">
      <x:alignment horizontal="center"/>
    </x:xf>
    <x:xf numFmtId="0" fontId="3" fillId="7" borderId="15" xfId="0" applyNumberFormat="1" applyFont="1" applyFill="1" applyBorder="1" applyAlignment="1">
      <x:alignment horizontal="center"/>
    </x:xf>
    <x:xf numFmtId="0" fontId="3" fillId="7" borderId="13" xfId="0" applyNumberFormat="1" applyFont="1" applyFill="1" applyBorder="1" applyAlignment="1">
      <x:alignment horizontal="center" vertical="center"/>
    </x:xf>
    <x:xf numFmtId="0" fontId="3" fillId="7" borderId="14" xfId="0" applyNumberFormat="1" applyFont="1" applyFill="1" applyBorder="1" applyAlignment="1">
      <x:alignment horizontal="center" vertical="center"/>
    </x:xf>
    <x:xf numFmtId="0" fontId="3" fillId="7" borderId="15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12" xfId="0" applyNumberFormat="1" applyFont="1" applyFill="1" applyBorder="1"/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5" fillId="8" borderId="12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203" fontId="0" fillId="5" borderId="5" xfId="0" applyNumberFormat="1" applyFont="1" applyFill="1" applyBorder="1" applyAlignment="1">
      <x:alignment vertical="top" wrapText="1"/>
    </x:xf>
    <x:xf numFmtId="203" fontId="0" fillId="5" borderId="8" xfId="0" applyNumberFormat="1" applyFont="1" applyFill="1" applyBorder="1" applyAlignment="1">
      <x:alignment vertical="top" wrapText="1"/>
    </x:xf>
    <x:xf numFmtId="203" fontId="0" fillId="5" borderId="11" xfId="0" applyNumberFormat="1" applyFont="1" applyFill="1" applyBorder="1" applyAlignment="1">
      <x:alignment vertical="top" wrapText="1"/>
    </x:xf>
    <x:xf numFmtId="203" fontId="0" fillId="6" borderId="5" xfId="0" applyNumberFormat="1" applyFont="1" applyFill="1" applyBorder="1" applyAlignment="1">
      <x:alignment vertical="top" wrapText="1"/>
    </x:xf>
    <x:xf numFmtId="203" fontId="0" fillId="6" borderId="8" xfId="0" applyNumberFormat="1" applyFont="1" applyFill="1" applyBorder="1" applyAlignment="1">
      <x:alignment vertical="top" wrapText="1"/>
    </x:xf>
    <x:xf numFmtId="203" fontId="0" fillId="6" borderId="11" xfId="0" applyNumberFormat="1" applyFont="1" applyFill="1" applyBorder="1" applyAlignment="1">
      <x:alignment vertical="top" wrapText="1"/>
    </x:xf>
    <x:xf numFmtId="201" fontId="0" fillId="6" borderId="5" xfId="0" applyNumberFormat="1" applyFont="1" applyFill="1" applyBorder="1" applyAlignment="1">
      <x:alignment vertical="top" wrapText="1"/>
    </x:xf>
    <x:xf numFmtId="201" fontId="0" fillId="6" borderId="8" xfId="0" applyNumberFormat="1" applyFont="1" applyFill="1" applyBorder="1" applyAlignment="1">
      <x:alignment vertical="top" wrapText="1"/>
    </x:xf>
    <x:xf numFmtId="201" fontId="0" fillId="6" borderId="11" xfId="0" applyNumberFormat="1" applyFont="1" applyFill="1" applyBorder="1" applyAlignment="1">
      <x:alignment vertical="top" wrapText="1"/>
    </x:xf>
    <x:xf numFmtId="204" fontId="0" fillId="5" borderId="5" xfId="0" applyNumberFormat="1" applyFont="1" applyFill="1" applyBorder="1" applyAlignment="1">
      <x:alignment vertical="top" wrapText="1"/>
    </x:xf>
    <x:xf numFmtId="204" fontId="0" fillId="6" borderId="5" xfId="0" applyNumberFormat="1" applyFont="1" applyFill="1" applyBorder="1" applyAlignment="1">
      <x:alignment vertical="top" wrapText="1"/>
    </x:xf>
    <x:xf numFmtId="204" fontId="0" fillId="5" borderId="8" xfId="0" applyNumberFormat="1" applyFont="1" applyFill="1" applyBorder="1" applyAlignment="1">
      <x:alignment vertical="top" wrapText="1"/>
    </x:xf>
    <x:xf numFmtId="204" fontId="0" fillId="6" borderId="8" xfId="0" applyNumberFormat="1" applyFont="1" applyFill="1" applyBorder="1" applyAlignment="1">
      <x:alignment vertical="top" wrapText="1"/>
    </x:xf>
    <x:xf numFmtId="204" fontId="0" fillId="5" borderId="11" xfId="0" applyNumberFormat="1" applyFont="1" applyFill="1" applyBorder="1" applyAlignment="1">
      <x:alignment vertical="top" wrapText="1"/>
    </x:xf>
    <x:xf numFmtId="204" fontId="0" fillId="6" borderId="11" xfId="0" applyNumberFormat="1" applyFont="1" applyFill="1" applyBorder="1" applyAlignment="1">
      <x:alignment vertical="top" wrapText="1"/>
    </x:xf>
    <x:xf numFmtId="205" fontId="0" fillId="6" borderId="5" xfId="0" applyNumberFormat="1" applyFont="1" applyFill="1" applyBorder="1" applyAlignment="1">
      <x:alignment vertical="top" wrapText="1"/>
    </x:xf>
    <x:xf numFmtId="205" fontId="0" fillId="6" borderId="8" xfId="0" applyNumberFormat="1" applyFont="1" applyFill="1" applyBorder="1" applyAlignment="1">
      <x:alignment vertical="top" wrapText="1"/>
    </x:xf>
    <x:xf numFmtId="205" fontId="0" fillId="6" borderId="11" xfId="0" applyNumberFormat="1" applyFont="1" applyFill="1" applyBorder="1" applyAlignment="1">
      <x:alignment vertical="top" wrapText="1"/>
    </x:xf>
    <x:xf numFmtId="205" fontId="0" fillId="5" borderId="5" xfId="0" applyNumberFormat="1" applyFont="1" applyFill="1" applyBorder="1" applyAlignment="1">
      <x:alignment vertical="top" wrapText="1"/>
    </x:xf>
    <x:xf numFmtId="205" fontId="0" fillId="5" borderId="8" xfId="0" applyNumberFormat="1" applyFont="1" applyFill="1" applyBorder="1" applyAlignment="1">
      <x:alignment vertical="top" wrapText="1"/>
    </x:xf>
    <x:xf numFmtId="205" fontId="0" fillId="5" borderId="11" xfId="0" applyNumberFormat="1" applyFont="1" applyFill="1" applyBorder="1" applyAlignment="1">
      <x:alignment vertical="top" wrapText="1"/>
    </x:xf>
    <x:xf numFmtId="206" fontId="0" fillId="6" borderId="5" xfId="0" applyNumberFormat="1" applyFont="1" applyFill="1" applyBorder="1" applyAlignment="1">
      <x:alignment vertical="top" wrapText="1"/>
    </x:xf>
    <x:xf numFmtId="206" fontId="0" fillId="6" borderId="8" xfId="0" applyNumberFormat="1" applyFont="1" applyFill="1" applyBorder="1" applyAlignment="1">
      <x:alignment vertical="top" wrapText="1"/>
    </x:xf>
    <x:xf numFmtId="206" fontId="0" fillId="6" borderId="11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202" fontId="0" fillId="6" borderId="5" xfId="0" applyNumberFormat="1" applyFont="1" applyFill="1" applyBorder="1" applyAlignment="1">
      <x:alignment vertical="top" wrapText="1"/>
    </x:xf>
    <x:xf numFmtId="202" fontId="0" fillId="6" borderId="8" xfId="0" applyNumberFormat="1" applyFont="1" applyFill="1" applyBorder="1" applyAlignment="1">
      <x:alignment vertical="top" wrapText="1"/>
    </x:xf>
    <x:xf numFmtId="202" fontId="0" fillId="6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207" fontId="0" fillId="0" borderId="5" xfId="0" applyNumberFormat="1" applyFont="1" applyFill="1" applyBorder="1" applyAlignment="1">
      <x:alignment vertical="top" wrapText="1"/>
    </x:xf>
    <x:xf numFmtId="207" fontId="0" fillId="0" borderId="8" xfId="0" applyNumberFormat="1" applyFont="1" applyFill="1" applyBorder="1" applyAlignment="1">
      <x:alignment vertical="top" wrapText="1"/>
    </x:xf>
    <x:xf numFmtId="207" fontId="0" fillId="0" borderId="11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208" fontId="0" fillId="6" borderId="5" xfId="0" applyNumberFormat="1" applyFont="1" applyFill="1" applyBorder="1" applyAlignment="1">
      <x:alignment vertical="top" wrapText="1"/>
    </x:xf>
    <x:xf numFmtId="208" fontId="0" fillId="6" borderId="8" xfId="0" applyNumberFormat="1" applyFont="1" applyFill="1" applyBorder="1" applyAlignment="1">
      <x:alignment vertical="top" wrapText="1"/>
    </x:xf>
    <x:xf numFmtId="208" fontId="0" fillId="6" borderId="1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10" fillId="0" borderId="12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top" wrapText="1"/>
    </x:xf>
    <x:xf numFmtId="0" fontId="10" fillId="6" borderId="8" xfId="0" applyNumberFormat="1" applyFont="1" applyFill="1" applyBorder="1" applyAlignment="1">
      <x:alignment vertical="top" wrapText="1"/>
    </x:xf>
    <x:xf numFmtId="201" fontId="10" fillId="5" borderId="8" xfId="0" applyNumberFormat="1" applyFont="1" applyFill="1" applyBorder="1" applyAlignment="1">
      <x:alignment vertical="top" wrapText="1"/>
    </x:xf>
    <x:xf numFmtId="0" fontId="10" fillId="5" borderId="8" xfId="0" applyNumberFormat="1" applyFont="1" applyFill="1" applyBorder="1" applyAlignment="1">
      <x:alignment vertical="top" wrapText="1"/>
    </x:xf>
    <x:xf numFmtId="200" fontId="10" fillId="0" borderId="8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horizontal="center" vertical="center"/>
    </x:xf>
    <x:xf numFmtId="0" fontId="11" fillId="3" borderId="13" xfId="0" applyNumberFormat="1" applyFont="1" applyFill="1" applyBorder="1"/>
    <x:xf numFmtId="0" fontId="8" fillId="7" borderId="14" xfId="0" applyNumberFormat="1" applyFont="1" applyFill="1" applyBorder="1" applyAlignment="1">
      <x:alignment horizontal="center" vertical="center"/>
    </x:xf>
    <x:xf numFmtId="0" fontId="11" fillId="3" borderId="14" xfId="0" applyNumberFormat="1" applyFont="1" applyFill="1" applyBorder="1"/>
    <x:xf numFmtId="0" fontId="8" fillId="7" borderId="15" xfId="0" applyNumberFormat="1" applyFont="1" applyFill="1" applyBorder="1" applyAlignment="1">
      <x:alignment horizontal="center" vertical="center"/>
    </x:xf>
    <x:xf numFmtId="0" fontId="11" fillId="3" borderId="15" xfId="0" applyNumberFormat="1" applyFont="1" applyFill="1" applyBorder="1"/>
    <x:xf numFmtId="0" fontId="12" fillId="8" borderId="4" xfId="0" applyNumberFormat="1" applyFont="1" applyFill="1" applyBorder="1" applyAlignment="1">
      <x:alignment vertical="center" wrapText="1"/>
    </x:xf>
    <x:xf numFmtId="0" fontId="12" fillId="8" borderId="5" xfId="0" applyNumberFormat="1" applyFont="1" applyFill="1" applyBorder="1" applyAlignment="1">
      <x:alignment vertical="center" wrapText="1"/>
    </x:xf>
    <x:xf numFmtId="0" fontId="12" fillId="8" borderId="6" xfId="0" applyNumberFormat="1" applyFont="1" applyFill="1" applyBorder="1" applyAlignment="1">
      <x:alignment vertical="center" wrapText="1"/>
    </x:xf>
    <x:xf numFmtId="0" fontId="12" fillId="8" borderId="7" xfId="0" applyNumberFormat="1" applyFont="1" applyFill="1" applyBorder="1" applyAlignment="1">
      <x:alignment vertical="center" wrapText="1"/>
    </x:xf>
    <x:xf numFmtId="0" fontId="12" fillId="8" borderId="8" xfId="0" applyNumberFormat="1" applyFont="1" applyFill="1" applyBorder="1" applyAlignment="1">
      <x:alignment vertical="center" wrapText="1"/>
    </x:xf>
    <x:xf numFmtId="0" fontId="12" fillId="8" borderId="9" xfId="0" applyNumberFormat="1" applyFont="1" applyFill="1" applyBorder="1" applyAlignment="1">
      <x:alignment vertical="center" wrapText="1"/>
    </x:xf>
    <x:xf numFmtId="0" fontId="12" fillId="8" borderId="10" xfId="0" applyNumberFormat="1" applyFont="1" applyFill="1" applyBorder="1" applyAlignment="1">
      <x:alignment vertical="center" wrapText="1"/>
    </x:xf>
    <x:xf numFmtId="0" fontId="12" fillId="8" borderId="11" xfId="0" applyNumberFormat="1" applyFont="1" applyFill="1" applyBorder="1" applyAlignment="1">
      <x:alignment vertical="center" wrapText="1"/>
    </x:xf>
    <x:xf numFmtId="0" fontId="12" fillId="8" borderId="12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top"/>
    </x:xf>
    <x:xf numFmtId="0" fontId="9" fillId="3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8" fillId="2" borderId="2" xfId="0" applyNumberFormat="1" applyFont="1" applyFill="1" applyBorder="1" applyAlignment="1">
      <x:alignment horizontal="center" vertical="top" wrapText="1"/>
    </x:xf>
    <x:xf numFmtId="0" fontId="8" fillId="2" borderId="3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horizontal="center" vertical="top"/>
    </x:xf>
    <x:xf numFmtId="0" fontId="11" fillId="3" borderId="13" xfId="0" applyNumberFormat="1" applyFont="1" applyFill="1" applyBorder="1" applyAlignment="1">
      <x:alignment vertical="top"/>
    </x:xf>
    <x:xf numFmtId="0" fontId="8" fillId="7" borderId="14" xfId="0" applyNumberFormat="1" applyFont="1" applyFill="1" applyBorder="1" applyAlignment="1">
      <x:alignment horizontal="center" vertical="top"/>
    </x:xf>
    <x:xf numFmtId="0" fontId="11" fillId="3" borderId="14" xfId="0" applyNumberFormat="1" applyFont="1" applyFill="1" applyBorder="1" applyAlignment="1">
      <x:alignment vertical="top"/>
    </x:xf>
    <x:xf numFmtId="0" fontId="8" fillId="7" borderId="15" xfId="0" applyNumberFormat="1" applyFont="1" applyFill="1" applyBorder="1" applyAlignment="1">
      <x:alignment horizontal="center" vertical="top"/>
    </x:xf>
    <x:xf numFmtId="0" fontId="11" fillId="3" borderId="15" xfId="0" applyNumberFormat="1" applyFont="1" applyFill="1" applyBorder="1" applyAlignment="1">
      <x:alignment vertical="top"/>
    </x:xf>
    <x:xf numFmtId="0" fontId="12" fillId="8" borderId="4" xfId="0" applyNumberFormat="1" applyFont="1" applyFill="1" applyBorder="1" applyAlignment="1">
      <x:alignment vertical="top" wrapText="1"/>
    </x:xf>
    <x:xf numFmtId="0" fontId="12" fillId="8" borderId="5" xfId="0" applyNumberFormat="1" applyFont="1" applyFill="1" applyBorder="1" applyAlignment="1">
      <x:alignment vertical="top" wrapText="1"/>
    </x:xf>
    <x:xf numFmtId="0" fontId="12" fillId="8" borderId="6" xfId="0" applyNumberFormat="1" applyFont="1" applyFill="1" applyBorder="1" applyAlignment="1">
      <x:alignment vertical="top" wrapText="1"/>
    </x:xf>
    <x:xf numFmtId="0" fontId="12" fillId="8" borderId="7" xfId="0" applyNumberFormat="1" applyFont="1" applyFill="1" applyBorder="1" applyAlignment="1">
      <x:alignment vertical="top" wrapText="1"/>
    </x:xf>
    <x:xf numFmtId="0" fontId="12" fillId="8" borderId="8" xfId="0" applyNumberFormat="1" applyFont="1" applyFill="1" applyBorder="1" applyAlignment="1">
      <x:alignment vertical="top" wrapText="1"/>
    </x:xf>
    <x:xf numFmtId="0" fontId="12" fillId="8" borderId="9" xfId="0" applyNumberFormat="1" applyFont="1" applyFill="1" applyBorder="1" applyAlignment="1">
      <x:alignment vertical="top" wrapText="1"/>
    </x:xf>
    <x:xf numFmtId="0" fontId="12" fillId="8" borderId="10" xfId="0" applyNumberFormat="1" applyFont="1" applyFill="1" applyBorder="1" applyAlignment="1">
      <x:alignment vertical="top" wrapText="1"/>
    </x:xf>
    <x:xf numFmtId="0" fontId="12" fillId="8" borderId="11" xfId="0" applyNumberFormat="1" applyFont="1" applyFill="1" applyBorder="1" applyAlignment="1">
      <x:alignment vertical="top" wrapText="1"/>
    </x:xf>
    <x:xf numFmtId="0" fontId="12" fillId="8" borderId="12" xfId="0" applyNumberFormat="1" applyFont="1" applyFill="1" applyBorder="1" applyAlignment="1">
      <x:alignment vertical="top" wrapText="1"/>
    </x:xf>
    <x:xf numFmtId="202" fontId="10" fillId="0" borderId="5" xfId="0" applyNumberFormat="1" applyFont="1" applyFill="1" applyBorder="1" applyAlignment="1">
      <x:alignment vertical="top" wrapText="1"/>
    </x:xf>
    <x:xf numFmtId="200" fontId="10" fillId="0" borderId="5" xfId="0" applyNumberFormat="1" applyFont="1" applyFill="1" applyBorder="1" applyAlignment="1">
      <x:alignment vertical="top" wrapText="1"/>
    </x:xf>
    <x:xf numFmtId="202" fontId="10" fillId="0" borderId="8" xfId="0" applyNumberFormat="1" applyFont="1" applyFill="1" applyBorder="1" applyAlignment="1">
      <x:alignment vertical="top" wrapText="1"/>
    </x:xf>
    <x:xf numFmtId="202" fontId="10" fillId="0" borderId="11" xfId="0" applyNumberFormat="1" applyFont="1" applyFill="1" applyBorder="1" applyAlignment="1">
      <x:alignment vertical="top" wrapText="1"/>
    </x:xf>
    <x:xf numFmtId="200" fontId="10" fillId="0" borderId="11" xfId="0" applyNumberFormat="1" applyFont="1" applyFill="1" applyBorder="1" applyAlignment="1">
      <x:alignment vertical="top" wrapText="1"/>
    </x:xf>
    <x:xf numFmtId="0" fontId="10" fillId="6" borderId="5" xfId="0" applyNumberFormat="1" applyFont="1" applyFill="1" applyBorder="1" applyAlignment="1">
      <x:alignment vertical="top" wrapText="1"/>
    </x:xf>
    <x:xf numFmtId="0" fontId="10" fillId="5" borderId="5" xfId="0" applyNumberFormat="1" applyFont="1" applyFill="1" applyBorder="1" applyAlignment="1">
      <x:alignment vertical="top" wrapText="1"/>
    </x:xf>
    <x:xf numFmtId="0" fontId="10" fillId="6" borderId="11" xfId="0" applyNumberFormat="1" applyFont="1" applyFill="1" applyBorder="1" applyAlignment="1">
      <x:alignment vertical="top" wrapText="1"/>
    </x:xf>
    <x:xf numFmtId="0" fontId="10" fillId="5" borderId="11" xfId="0" applyNumberFormat="1" applyFont="1" applyFill="1" applyBorder="1" applyAlignment="1">
      <x:alignment vertical="top" wrapText="1"/>
    </x:xf>
    <x:xf numFmtId="0" fontId="10" fillId="5" borderId="4" xfId="0" applyNumberFormat="1" applyFont="1" applyFill="1" applyBorder="1" applyAlignment="1">
      <x:alignment vertical="top" wrapText="1"/>
    </x:xf>
    <x:xf numFmtId="203" fontId="10" fillId="5" borderId="5" xfId="0" applyNumberFormat="1" applyFont="1" applyFill="1" applyBorder="1" applyAlignment="1">
      <x:alignment vertical="top" wrapText="1"/>
    </x:xf>
    <x:xf numFmtId="203" fontId="10" fillId="6" borderId="5" xfId="0" applyNumberFormat="1" applyFont="1" applyFill="1" applyBorder="1" applyAlignment="1">
      <x:alignment vertical="top" wrapText="1"/>
    </x:xf>
    <x:xf numFmtId="201" fontId="10" fillId="6" borderId="5" xfId="0" applyNumberFormat="1" applyFont="1" applyFill="1" applyBorder="1" applyAlignment="1">
      <x:alignment vertical="top" wrapText="1"/>
    </x:xf>
    <x:xf numFmtId="0" fontId="10" fillId="5" borderId="6" xfId="0" applyNumberFormat="1" applyFont="1" applyFill="1" applyBorder="1" applyAlignment="1">
      <x:alignment vertical="top" wrapText="1"/>
    </x:xf>
    <x:xf numFmtId="0" fontId="10" fillId="5" borderId="7" xfId="0" applyNumberFormat="1" applyFont="1" applyFill="1" applyBorder="1" applyAlignment="1">
      <x:alignment vertical="top" wrapText="1"/>
    </x:xf>
    <x:xf numFmtId="203" fontId="10" fillId="5" borderId="8" xfId="0" applyNumberFormat="1" applyFont="1" applyFill="1" applyBorder="1" applyAlignment="1">
      <x:alignment vertical="top" wrapText="1"/>
    </x:xf>
    <x:xf numFmtId="203" fontId="10" fillId="6" borderId="8" xfId="0" applyNumberFormat="1" applyFont="1" applyFill="1" applyBorder="1" applyAlignment="1">
      <x:alignment vertical="top" wrapText="1"/>
    </x:xf>
    <x:xf numFmtId="201" fontId="10" fillId="6" borderId="8" xfId="0" applyNumberFormat="1" applyFont="1" applyFill="1" applyBorder="1" applyAlignment="1">
      <x:alignment vertical="top" wrapText="1"/>
    </x:xf>
    <x:xf numFmtId="0" fontId="10" fillId="5" borderId="9" xfId="0" applyNumberFormat="1" applyFont="1" applyFill="1" applyBorder="1" applyAlignment="1">
      <x:alignment vertical="top" wrapText="1"/>
    </x:xf>
    <x:xf numFmtId="0" fontId="10" fillId="5" borderId="10" xfId="0" applyNumberFormat="1" applyFont="1" applyFill="1" applyBorder="1" applyAlignment="1">
      <x:alignment vertical="top" wrapText="1"/>
    </x:xf>
    <x:xf numFmtId="203" fontId="10" fillId="5" borderId="11" xfId="0" applyNumberFormat="1" applyFont="1" applyFill="1" applyBorder="1" applyAlignment="1">
      <x:alignment vertical="top" wrapText="1"/>
    </x:xf>
    <x:xf numFmtId="203" fontId="10" fillId="6" borderId="11" xfId="0" applyNumberFormat="1" applyFont="1" applyFill="1" applyBorder="1" applyAlignment="1">
      <x:alignment vertical="top" wrapText="1"/>
    </x:xf>
    <x:xf numFmtId="201" fontId="10" fillId="6" borderId="11" xfId="0" applyNumberFormat="1" applyFont="1" applyFill="1" applyBorder="1" applyAlignment="1">
      <x:alignment vertical="top" wrapText="1"/>
    </x:xf>
    <x:xf numFmtId="0" fontId="10" fillId="5" borderId="12" xfId="0" applyNumberFormat="1" applyFont="1" applyFill="1" applyBorder="1" applyAlignment="1">
      <x:alignment vertical="top" wrapText="1"/>
    </x:xf>
    <x:xf numFmtId="204" fontId="10" fillId="5" borderId="5" xfId="0" applyNumberFormat="1" applyFont="1" applyFill="1" applyBorder="1" applyAlignment="1">
      <x:alignment vertical="top" wrapText="1"/>
    </x:xf>
    <x:xf numFmtId="204" fontId="10" fillId="6" borderId="5" xfId="0" applyNumberFormat="1" applyFont="1" applyFill="1" applyBorder="1" applyAlignment="1">
      <x:alignment vertical="top" wrapText="1"/>
    </x:xf>
    <x:xf numFmtId="205" fontId="10" fillId="6" borderId="5" xfId="0" applyNumberFormat="1" applyFont="1" applyFill="1" applyBorder="1" applyAlignment="1">
      <x:alignment vertical="top" wrapText="1"/>
    </x:xf>
    <x:xf numFmtId="204" fontId="10" fillId="5" borderId="8" xfId="0" applyNumberFormat="1" applyFont="1" applyFill="1" applyBorder="1" applyAlignment="1">
      <x:alignment vertical="top" wrapText="1"/>
    </x:xf>
    <x:xf numFmtId="204" fontId="10" fillId="6" borderId="8" xfId="0" applyNumberFormat="1" applyFont="1" applyFill="1" applyBorder="1" applyAlignment="1">
      <x:alignment vertical="top" wrapText="1"/>
    </x:xf>
    <x:xf numFmtId="205" fontId="10" fillId="6" borderId="8" xfId="0" applyNumberFormat="1" applyFont="1" applyFill="1" applyBorder="1" applyAlignment="1">
      <x:alignment vertical="top" wrapText="1"/>
    </x:xf>
    <x:xf numFmtId="204" fontId="10" fillId="5" borderId="11" xfId="0" applyNumberFormat="1" applyFont="1" applyFill="1" applyBorder="1" applyAlignment="1">
      <x:alignment vertical="top" wrapText="1"/>
    </x:xf>
    <x:xf numFmtId="204" fontId="10" fillId="6" borderId="11" xfId="0" applyNumberFormat="1" applyFont="1" applyFill="1" applyBorder="1" applyAlignment="1">
      <x:alignment vertical="top" wrapText="1"/>
    </x:xf>
    <x:xf numFmtId="205" fontId="10" fillId="6" borderId="11" xfId="0" applyNumberFormat="1" applyFont="1" applyFill="1" applyBorder="1" applyAlignment="1">
      <x:alignment vertical="top" wrapText="1"/>
    </x:xf>
    <x:xf numFmtId="205" fontId="10" fillId="5" borderId="5" xfId="0" applyNumberFormat="1" applyFont="1" applyFill="1" applyBorder="1" applyAlignment="1">
      <x:alignment vertical="top" wrapText="1"/>
    </x:xf>
    <x:xf numFmtId="206" fontId="10" fillId="6" borderId="5" xfId="0" applyNumberFormat="1" applyFont="1" applyFill="1" applyBorder="1" applyAlignment="1">
      <x:alignment vertical="top" wrapText="1"/>
    </x:xf>
    <x:xf numFmtId="205" fontId="10" fillId="5" borderId="8" xfId="0" applyNumberFormat="1" applyFont="1" applyFill="1" applyBorder="1" applyAlignment="1">
      <x:alignment vertical="top" wrapText="1"/>
    </x:xf>
    <x:xf numFmtId="206" fontId="10" fillId="6" borderId="8" xfId="0" applyNumberFormat="1" applyFont="1" applyFill="1" applyBorder="1" applyAlignment="1">
      <x:alignment vertical="top" wrapText="1"/>
    </x:xf>
    <x:xf numFmtId="205" fontId="10" fillId="5" borderId="11" xfId="0" applyNumberFormat="1" applyFont="1" applyFill="1" applyBorder="1" applyAlignment="1">
      <x:alignment vertical="top" wrapText="1"/>
    </x:xf>
    <x:xf numFmtId="206" fontId="10" fillId="6" borderId="11" xfId="0" applyNumberFormat="1" applyFont="1" applyFill="1" applyBorder="1" applyAlignment="1">
      <x:alignment vertical="top" wrapText="1"/>
    </x:xf>
    <x:xf numFmtId="202" fontId="10" fillId="6" borderId="5" xfId="0" applyNumberFormat="1" applyFont="1" applyFill="1" applyBorder="1" applyAlignment="1">
      <x:alignment vertical="top" wrapText="1"/>
    </x:xf>
    <x:xf numFmtId="0" fontId="10" fillId="6" borderId="6" xfId="0" applyNumberFormat="1" applyFont="1" applyFill="1" applyBorder="1" applyAlignment="1">
      <x:alignment vertical="top" wrapText="1"/>
    </x:xf>
    <x:xf numFmtId="202" fontId="10" fillId="6" borderId="8" xfId="0" applyNumberFormat="1" applyFont="1" applyFill="1" applyBorder="1" applyAlignment="1">
      <x:alignment vertical="top" wrapText="1"/>
    </x:xf>
    <x:xf numFmtId="0" fontId="10" fillId="6" borderId="9" xfId="0" applyNumberFormat="1" applyFont="1" applyFill="1" applyBorder="1" applyAlignment="1">
      <x:alignment vertical="top" wrapText="1"/>
    </x:xf>
    <x:xf numFmtId="202" fontId="10" fillId="6" borderId="11" xfId="0" applyNumberFormat="1" applyFont="1" applyFill="1" applyBorder="1" applyAlignment="1">
      <x:alignment vertical="top" wrapText="1"/>
    </x:xf>
    <x:xf numFmtId="0" fontId="10" fillId="6" borderId="12" xfId="0" applyNumberFormat="1" applyFont="1" applyFill="1" applyBorder="1" applyAlignment="1">
      <x:alignment vertical="top" wrapText="1"/>
    </x:xf>
    <x:xf numFmtId="0" fontId="13" fillId="4" borderId="4" xfId="0" applyNumberFormat="1" applyFont="1" applyFill="1" applyBorder="1" applyAlignment="1">
      <x:alignment vertical="center" wrapText="1"/>
    </x:xf>
    <x:xf numFmtId="0" fontId="13" fillId="4" borderId="5" xfId="0" applyNumberFormat="1" applyFont="1" applyFill="1" applyBorder="1" applyAlignment="1">
      <x:alignment vertical="center" wrapText="1"/>
    </x:xf>
    <x:xf numFmtId="0" fontId="13" fillId="4" borderId="6" xfId="0" applyNumberFormat="1" applyFont="1" applyFill="1" applyBorder="1" applyAlignment="1">
      <x:alignment vertical="center" wrapText="1"/>
    </x:xf>
    <x:xf numFmtId="0" fontId="13" fillId="4" borderId="7" xfId="0" applyNumberFormat="1" applyFont="1" applyFill="1" applyBorder="1" applyAlignment="1">
      <x:alignment vertical="center" wrapText="1"/>
    </x:xf>
    <x:xf numFmtId="0" fontId="13" fillId="4" borderId="8" xfId="0" applyNumberFormat="1" applyFont="1" applyFill="1" applyBorder="1" applyAlignment="1">
      <x:alignment vertical="center" wrapText="1"/>
    </x:xf>
    <x:xf numFmtId="0" fontId="13" fillId="4" borderId="9" xfId="0" applyNumberFormat="1" applyFont="1" applyFill="1" applyBorder="1" applyAlignment="1">
      <x:alignment vertical="center" wrapText="1"/>
    </x:xf>
    <x:xf numFmtId="0" fontId="13" fillId="4" borderId="10" xfId="0" applyNumberFormat="1" applyFont="1" applyFill="1" applyBorder="1" applyAlignment="1">
      <x:alignment vertical="center" wrapText="1"/>
    </x:xf>
    <x:xf numFmtId="0" fontId="13" fillId="4" borderId="11" xfId="0" applyNumberFormat="1" applyFont="1" applyFill="1" applyBorder="1" applyAlignment="1">
      <x:alignment vertical="center" wrapText="1"/>
    </x:xf>
    <x:xf numFmtId="0" fontId="13" fillId="4" borderId="12" xfId="0" applyNumberFormat="1" applyFont="1" applyFill="1" applyBorder="1" applyAlignment="1">
      <x:alignment vertical="center" wrapText="1"/>
    </x:xf>
    <x:xf numFmtId="0" fontId="13" fillId="4" borderId="4" xfId="0" applyNumberFormat="1" applyFont="1" applyFill="1" applyBorder="1" applyAlignment="1">
      <x:alignment vertical="top" wrapText="1"/>
    </x:xf>
    <x:xf numFmtId="0" fontId="13" fillId="4" borderId="5" xfId="0" applyNumberFormat="1" applyFont="1" applyFill="1" applyBorder="1" applyAlignment="1">
      <x:alignment vertical="top" wrapText="1"/>
    </x:xf>
    <x:xf numFmtId="0" fontId="13" fillId="4" borderId="6" xfId="0" applyNumberFormat="1" applyFont="1" applyFill="1" applyBorder="1" applyAlignment="1">
      <x:alignment vertical="top" wrapText="1"/>
    </x:xf>
    <x:xf numFmtId="0" fontId="13" fillId="4" borderId="7" xfId="0" applyNumberFormat="1" applyFont="1" applyFill="1" applyBorder="1" applyAlignment="1">
      <x:alignment vertical="top" wrapText="1"/>
    </x:xf>
    <x:xf numFmtId="0" fontId="13" fillId="4" borderId="8" xfId="0" applyNumberFormat="1" applyFont="1" applyFill="1" applyBorder="1" applyAlignment="1">
      <x:alignment vertical="top" wrapText="1"/>
    </x:xf>
    <x:xf numFmtId="0" fontId="13" fillId="4" borderId="9" xfId="0" applyNumberFormat="1" applyFont="1" applyFill="1" applyBorder="1" applyAlignment="1">
      <x:alignment vertical="top" wrapText="1"/>
    </x:xf>
    <x:xf numFmtId="0" fontId="13" fillId="4" borderId="10" xfId="0" applyNumberFormat="1" applyFont="1" applyFill="1" applyBorder="1" applyAlignment="1">
      <x:alignment vertical="top" wrapText="1"/>
    </x:xf>
    <x:xf numFmtId="0" fontId="13" fillId="4" borderId="11" xfId="0" applyNumberFormat="1" applyFont="1" applyFill="1" applyBorder="1" applyAlignment="1">
      <x:alignment vertical="top" wrapText="1"/>
    </x:xf>
    <x:xf numFmtId="0" fontId="13" fillId="4" borderId="12" xfId="0" applyNumberFormat="1" applyFont="1" applyFill="1" applyBorder="1" applyAlignment="1">
      <x:alignment vertical="top" wrapText="1"/>
    </x:xf>
    <x:xf numFmtId="207" fontId="10" fillId="0" borderId="5" xfId="0" applyNumberFormat="1" applyFont="1" applyFill="1" applyBorder="1" applyAlignment="1">
      <x:alignment vertical="top" wrapText="1"/>
    </x:xf>
    <x:xf numFmtId="207" fontId="10" fillId="0" borderId="8" xfId="0" applyNumberFormat="1" applyFont="1" applyFill="1" applyBorder="1" applyAlignment="1">
      <x:alignment vertical="top" wrapText="1"/>
    </x:xf>
    <x:xf numFmtId="207" fontId="10" fillId="0" borderId="11" xfId="0" applyNumberFormat="1" applyFont="1" applyFill="1" applyBorder="1" applyAlignment="1">
      <x:alignment vertical="top" wrapText="1"/>
    </x:xf>
    <x:xf numFmtId="0" fontId="10" fillId="6" borderId="4" xfId="0" applyNumberFormat="1" applyFont="1" applyFill="1" applyBorder="1" applyAlignment="1">
      <x:alignment vertical="top" wrapText="1"/>
    </x:xf>
    <x:xf numFmtId="208" fontId="10" fillId="6" borderId="5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vertical="top" wrapText="1"/>
    </x:xf>
    <x:xf numFmtId="208" fontId="10" fillId="6" borderId="8" xfId="0" applyNumberFormat="1" applyFont="1" applyFill="1" applyBorder="1" applyAlignment="1">
      <x:alignment vertical="top" wrapText="1"/>
    </x:xf>
    <x:xf numFmtId="0" fontId="10" fillId="6" borderId="10" xfId="0" applyNumberFormat="1" applyFont="1" applyFill="1" applyBorder="1" applyAlignment="1">
      <x:alignment vertical="top" wrapText="1"/>
    </x:xf>
    <x:xf numFmtId="208" fontId="10" fillId="6" borderId="11" xfId="0" applyNumberFormat="1" applyFont="1" applyFill="1" applyBorder="1" applyAlignment="1">
      <x:alignment vertical="top" wrapText="1"/>
    </x:xf>
    <x:xf numFmtId="0" fontId="14" fillId="4" borderId="4" xfId="0" applyNumberFormat="1" applyFont="1" applyFill="1" applyBorder="1" applyAlignment="1">
      <x:alignment vertical="center" wrapText="1"/>
    </x:xf>
    <x:xf numFmtId="0" fontId="14" fillId="4" borderId="5" xfId="0" applyNumberFormat="1" applyFont="1" applyFill="1" applyBorder="1" applyAlignment="1">
      <x:alignment vertical="center" wrapText="1"/>
    </x:xf>
    <x:xf numFmtId="0" fontId="14" fillId="4" borderId="6" xfId="0" applyNumberFormat="1" applyFont="1" applyFill="1" applyBorder="1" applyAlignment="1">
      <x:alignment vertical="center" wrapText="1"/>
    </x:xf>
    <x:xf numFmtId="0" fontId="14" fillId="4" borderId="7" xfId="0" applyNumberFormat="1" applyFont="1" applyFill="1" applyBorder="1" applyAlignment="1">
      <x:alignment vertical="center" wrapText="1"/>
    </x:xf>
    <x:xf numFmtId="0" fontId="14" fillId="4" borderId="8" xfId="0" applyNumberFormat="1" applyFont="1" applyFill="1" applyBorder="1" applyAlignment="1">
      <x:alignment vertical="center" wrapText="1"/>
    </x:xf>
    <x:xf numFmtId="0" fontId="14" fillId="4" borderId="9" xfId="0" applyNumberFormat="1" applyFont="1" applyFill="1" applyBorder="1" applyAlignment="1">
      <x:alignment vertical="center" wrapText="1"/>
    </x:xf>
    <x:xf numFmtId="0" fontId="14" fillId="4" borderId="10" xfId="0" applyNumberFormat="1" applyFont="1" applyFill="1" applyBorder="1" applyAlignment="1">
      <x:alignment vertical="center" wrapText="1"/>
    </x:xf>
    <x:xf numFmtId="0" fontId="14" fillId="4" borderId="11" xfId="0" applyNumberFormat="1" applyFont="1" applyFill="1" applyBorder="1" applyAlignment="1">
      <x:alignment vertical="center" wrapText="1"/>
    </x:xf>
    <x:xf numFmtId="0" fontId="14" fillId="4" borderId="12" xfId="0" applyNumberFormat="1" applyFont="1" applyFill="1" applyBorder="1" applyAlignment="1">
      <x:alignment vertical="center" wrapText="1"/>
    </x:xf>
    <x:xf numFmtId="0" fontId="14" fillId="4" borderId="4" xfId="0" applyNumberFormat="1" applyFont="1" applyFill="1" applyBorder="1" applyAlignment="1">
      <x:alignment vertical="top" wrapText="1"/>
    </x:xf>
    <x:xf numFmtId="0" fontId="14" fillId="4" borderId="5" xfId="0" applyNumberFormat="1" applyFont="1" applyFill="1" applyBorder="1" applyAlignment="1">
      <x:alignment vertical="top" wrapText="1"/>
    </x:xf>
    <x:xf numFmtId="0" fontId="14" fillId="4" borderId="6" xfId="0" applyNumberFormat="1" applyFont="1" applyFill="1" applyBorder="1" applyAlignment="1">
      <x:alignment vertical="top" wrapText="1"/>
    </x:xf>
    <x:xf numFmtId="0" fontId="14" fillId="4" borderId="7" xfId="0" applyNumberFormat="1" applyFont="1" applyFill="1" applyBorder="1" applyAlignment="1">
      <x:alignment vertical="top" wrapText="1"/>
    </x:xf>
    <x:xf numFmtId="0" fontId="14" fillId="4" borderId="8" xfId="0" applyNumberFormat="1" applyFont="1" applyFill="1" applyBorder="1" applyAlignment="1">
      <x:alignment vertical="top" wrapText="1"/>
    </x:xf>
    <x:xf numFmtId="0" fontId="14" fillId="4" borderId="9" xfId="0" applyNumberFormat="1" applyFont="1" applyFill="1" applyBorder="1" applyAlignment="1">
      <x:alignment vertical="top" wrapText="1"/>
    </x:xf>
    <x:xf numFmtId="0" fontId="14" fillId="4" borderId="10" xfId="0" applyNumberFormat="1" applyFont="1" applyFill="1" applyBorder="1" applyAlignment="1">
      <x:alignment vertical="top" wrapText="1"/>
    </x:xf>
    <x:xf numFmtId="0" fontId="14" fillId="4" borderId="11" xfId="0" applyNumberFormat="1" applyFont="1" applyFill="1" applyBorder="1" applyAlignment="1">
      <x:alignment vertical="top" wrapText="1"/>
    </x:xf>
    <x:xf numFmtId="0" fontId="14" fillId="4" borderId="12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horizontal="left" vertical="top"/>
    </x:xf>
  </x:cellXfs>
  <x:cellStyles count="1">
    <x:cellStyle name="Normal" xfId="0"/>
  </x:cellStyles>
  <x:dxfs count="100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9021113144b9b" /><Relationship Type="http://schemas.openxmlformats.org/officeDocument/2006/relationships/theme" Target="/xl/theme/theme1.xml" Id="Rd45c2a27c5ce458a" /><Relationship Type="http://schemas.openxmlformats.org/officeDocument/2006/relationships/sharedStrings" Target="/xl/sharedStrings.xml" Id="R304519a68ef44975" /><Relationship Type="http://schemas.openxmlformats.org/officeDocument/2006/relationships/worksheet" Target="/xl/worksheets/sheet1.xml" Id="R88d1298d3ea54e54" /><Relationship Type="http://schemas.openxmlformats.org/officeDocument/2006/relationships/worksheet" Target="/xl/worksheets/sheet2.xml" Id="Ra804c8283ce34dab" /><Relationship Type="http://schemas.openxmlformats.org/officeDocument/2006/relationships/worksheet" Target="/xl/worksheets/sheet3.xml" Id="R01933d14f5ea4cb5" /><Relationship Type="http://schemas.openxmlformats.org/officeDocument/2006/relationships/worksheet" Target="/xl/worksheets/sheet4.xml" Id="R0357be52c3404a78" /><Relationship Type="http://schemas.openxmlformats.org/officeDocument/2006/relationships/worksheet" Target="/xl/worksheets/sheet5.xml" Id="Rcbb9995c322f40d1" /><Relationship Type="http://schemas.openxmlformats.org/officeDocument/2006/relationships/worksheet" Target="/xl/worksheets/sheet6.xml" Id="R3be049a880704b06" /><Relationship Type="http://schemas.openxmlformats.org/officeDocument/2006/relationships/worksheet" Target="/xl/worksheets/sheet7.xml" Id="Rc745bd41ba744ab3" /><Relationship Type="http://schemas.openxmlformats.org/officeDocument/2006/relationships/worksheet" Target="/xl/worksheets/sheet8.xml" Id="Rfc01185e6aa34991" /><Relationship Type="http://schemas.openxmlformats.org/officeDocument/2006/relationships/worksheet" Target="/xl/worksheets/sheet9.xml" Id="R7f97fa69524f43e3" /><Relationship Type="http://schemas.openxmlformats.org/officeDocument/2006/relationships/worksheet" Target="/xl/worksheets/sheet10.xml" Id="R1332a8c178534754" /><Relationship Type="http://schemas.openxmlformats.org/officeDocument/2006/relationships/worksheet" Target="/xl/worksheets/sheet11.xml" Id="R2eabc22049ef4214" /><Relationship Type="http://schemas.openxmlformats.org/officeDocument/2006/relationships/worksheet" Target="/xl/worksheets/sheet12.xml" Id="Ra1d21b0bc35c49f2" /><Relationship Type="http://schemas.openxmlformats.org/officeDocument/2006/relationships/worksheet" Target="/xl/worksheets/sheet13.xml" Id="Rebd41444122a41bc" /><Relationship Type="http://schemas.openxmlformats.org/officeDocument/2006/relationships/worksheet" Target="/xl/worksheets/sheet14.xml" Id="R830a4f52fa8b4730" /><Relationship Type="http://schemas.openxmlformats.org/officeDocument/2006/relationships/worksheet" Target="/xl/worksheets/sheet15.xml" Id="Rb8be3259d60345aa" /></Relationships>
</file>

<file path=xl/tables/table1.xml><?xml version="1.0" encoding="utf-8"?>
<x:table xmlns:x="http://schemas.openxmlformats.org/spreadsheetml/2006/main" id="1" name="tblSourceLog" displayName="tblSourceLog" ref="A1:N13" headerRowCount="1" totalsRowCount="0" totalsRowShown="0">
  <x:autoFilter ref="A1:N13"/>
  <x:tableColumns count="14">
    <x:tableColumn id="1" name="source_id"/>
    <x:tableColumn id="2" name="institution"/>
    <x:tableColumn id="3" name="title"/>
    <x:tableColumn id="4" name="publication_year"/>
    <x:tableColumn id="5" name="reference_year"/>
    <x:tableColumn id="6" name="source_type"/>
    <x:tableColumn id="7" name="expected_use"/>
    <x:tableColumn id="8" name="access_level"/>
    <x:tableColumn id="9" name="access_status"/>
    <x:tableColumn id="10" name="url"/>
    <x:tableColumn id="11" name="access_date"/>
    <x:tableColumn id="12" name="evidence_page_table"/>
    <x:tableColumn id="13" name="file_hash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SectorMaster" displayName="tblSectorMaster" ref="A1:L18" headerRowCount="1" totalsRowCount="0" totalsRowShown="0">
  <x:autoFilter ref="A1:L18"/>
  <x:tableColumns count="12">
    <x:tableColumn id="1" name="tier"/>
    <x:tableColumn id="2" name="sector_id"/>
    <x:tableColumn id="3" name="sector_name"/>
    <x:tableColumn id="4" name="fallback_sector_id"/>
    <x:tableColumn id="5" name="active_status"/>
    <x:tableColumn id="6" name="required_kbli_level"/>
    <x:tableColumn id="7" name="manufacturing_priority_flag"/>
    <x:tableColumn id="8" name="residual_flag"/>
    <x:tableColumn id="9" name="evidence_status"/>
    <x:tableColumn id="10" name="mapping_status"/>
    <x:tableColumn id="11" name="exact_kbli_codes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OccupationMaster" displayName="tblOccupationMaster" ref="A1:W428" headerRowCount="1" totalsRowCount="0" totalsRowShown="0">
  <x:autoFilter ref="A1:W428"/>
  <x:tableColumns count="23">
    <x:tableColumn id="1" name="kbji_vintage"/>
    <x:tableColumn id="2" name="kbji4"/>
    <x:tableColumn id="3" name="kbji_title"/>
    <x:tableColumn id="4" name="isco08_4"/>
    <x:tableColumn id="5" name="isco_title"/>
    <x:tableColumn id="6" name="mapping_type"/>
    <x:tableColumn id="7" name="allocation_share"/>
    <x:tableColumn id="8" name="ilo2016_risk_category"/>
    <x:tableColumn id="9" name="risk_high_flag"/>
    <x:tableColumn id="10" name="ilo2016_status"/>
    <x:tableColumn id="11" name="ilo2025_genai_category"/>
    <x:tableColumn id="12" name="ilo2025_mean"/>
    <x:tableColumn id="13" name="ilo2025_sd"/>
    <x:tableColumn id="14" name="genai_score_0_5"/>
    <x:tableColumn id="15" name="score_mapping_status"/>
    <x:tableColumn id="16" name="ilo2025_source_status"/>
    <x:tableColumn id="17" name="source_id_kbji_isco"/>
    <x:tableColumn id="18" name="source_id_risk"/>
    <x:tableColumn id="19" name="source_id_genai"/>
    <x:tableColumn id="20" name="evidence_page_table"/>
    <x:tableColumn id="21" name="kbji_isco_status"/>
    <x:tableColumn id="22" name="reviewer"/>
    <x:tableColumn id="2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SakernasAgg" displayName="tblSakernasAgg" ref="A1:O301" headerRowCount="1" totalsRowCount="0" totalsRowShown="0">
  <x:autoFilter ref="A1:O301"/>
  <x:tableColumns count="15">
    <x:tableColumn id="1" name="row_id"/>
    <x:tableColumn id="2" name="source_id"/>
    <x:tableColumn id="3" name="release_id"/>
    <x:tableColumn id="4" name="wave"/>
    <x:tableColumn id="5" name="tier"/>
    <x:tableColumn id="6" name="sector_id"/>
    <x:tableColumn id="7" name="kbli_code"/>
    <x:tableColumn id="8" name="kbji_code"/>
    <x:tableColumn id="9" name="education_band"/>
    <x:tableColumn id="10" name="is_le_sma"/>
    <x:tableColumn id="11" name="weighted_workers"/>
    <x:tableColumn id="12" name="sector_weighted_total"/>
    <x:tableColumn id="13" name="occupation_share"/>
    <x:tableColumn id="14" name="record_status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ectorOccCrosswalk" displayName="tblSectorOccCrosswalk" ref="A1:U301" headerRowCount="1" totalsRowCount="0" totalsRowShown="0">
  <x:autoFilter ref="A1:U301"/>
  <x:tableColumns count="21">
    <x:tableColumn id="1" name="tier"/>
    <x:tableColumn id="2" name="sector_id"/>
    <x:tableColumn id="3" name="kbji4"/>
    <x:tableColumn id="4" name="isco08_4"/>
    <x:tableColumn id="5" name="allocation_share"/>
    <x:tableColumn id="6" name="kbji_weighted_workers"/>
    <x:tableColumn id="7" name="allocated_weighted_workers"/>
    <x:tableColumn id="8" name="sector_weighted_total"/>
    <x:tableColumn id="9" name="occupation_share"/>
    <x:tableColumn id="10" name="ilo2016_risk_category"/>
    <x:tableColumn id="11" name="risk_high_flag"/>
    <x:tableColumn id="12" name="ilo2025_genai_category"/>
    <x:tableColumn id="13" name="genai_score_0_5"/>
    <x:tableColumn id="14" name="d2_contribution_pp"/>
    <x:tableColumn id="15" name="d3_contribution"/>
    <x:tableColumn id="16" name="source_ids"/>
    <x:tableColumn id="17" name="risk_mapping_status"/>
    <x:tableColumn id="18" name="genai_mapping_status"/>
    <x:tableColumn id="19" name="sector_share_sum"/>
    <x:tableColumn id="20" name="qc_status"/>
    <x:tableColumn id="2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IndicatorsRaw" displayName="tblIndicatorsRaw" ref="A1:X18" headerRowCount="1" totalsRowCount="0" totalsRowShown="0">
  <x:autoFilter ref="A1:X18"/>
  <x:tableColumns count="24">
    <x:tableColumn id="1" name="tier"/>
    <x:tableColumn id="2" name="sector_id"/>
    <x:tableColumn id="3" name="sector_name"/>
    <x:tableColumn id="4" name="X1_raw_pct"/>
    <x:tableColumn id="5" name="X1_numerator_weighted"/>
    <x:tableColumn id="6" name="X1_denominator_weighted"/>
    <x:tableColumn id="7" name="X1_status"/>
    <x:tableColumn id="8" name="X1_source_id"/>
    <x:tableColumn id="9" name="X2_raw_pct"/>
    <x:tableColumn id="10" name="X2_mapping_coverage"/>
    <x:tableColumn id="11" name="X2_status"/>
    <x:tableColumn id="12" name="X2_source_id"/>
    <x:tableColumn id="13" name="X3_raw_0_5"/>
    <x:tableColumn id="14" name="X3_mapping_coverage"/>
    <x:tableColumn id="15" name="X3_status"/>
    <x:tableColumn id="16" name="X3_source_id"/>
    <x:tableColumn id="17" name="readiness_raw"/>
    <x:tableColumn id="18" name="readiness_unit"/>
    <x:tableColumn id="19" name="readiness_status"/>
    <x:tableColumn id="20" name="readiness_source_id"/>
    <x:tableColumn id="21" name="V1_value"/>
    <x:tableColumn id="22" name="V2_value"/>
    <x:tableColumn id="23" name="row_status"/>
    <x:tableColumn id="2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Normalized" displayName="tblNormalized" ref="A1:Q18" headerRowCount="1" totalsRowCount="0" totalsRowShown="0">
  <x:autoFilter ref="A1:Q18"/>
  <x:tableColumns count="17">
    <x:tableColumn id="1" name="tier"/>
    <x:tableColumn id="2" name="sector_id"/>
    <x:tableColumn id="3" name="sector_name"/>
    <x:tableColumn id="4" name="X1_raw"/>
    <x:tableColumn id="5" name="X1_norm"/>
    <x:tableColumn id="6" name="X1_p"/>
    <x:tableColumn id="7" name="X1_p_ln_p"/>
    <x:tableColumn id="8" name="X2_raw"/>
    <x:tableColumn id="9" name="X2_norm"/>
    <x:tableColumn id="10" name="X2_p"/>
    <x:tableColumn id="11" name="X2_p_ln_p"/>
    <x:tableColumn id="12" name="X3_raw"/>
    <x:tableColumn id="13" name="X3_norm"/>
    <x:tableColumn id="14" name="X3_p"/>
    <x:tableColumn id="15" name="X3_p_ln_p"/>
    <x:tableColumn id="16" name="active_complete"/>
    <x:tableColumn id="17" name="qc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Weights" displayName="tblWeights" ref="A1:J4" headerRowCount="1" totalsRowCount="0" totalsRowShown="0">
  <x:autoFilter ref="A1:J4"/>
  <x:tableColumns count="10">
    <x:tableColumn id="1" name="indicator_code"/>
    <x:tableColumn id="2" name="indicator_name"/>
    <x:tableColumn id="3" name="N_complete"/>
    <x:tableColumn id="4" name="sum_normalized"/>
    <x:tableColumn id="5" name="entropy"/>
    <x:tableColumn id="6" name="diversification"/>
    <x:tableColumn id="7" name="entropy_weight"/>
    <x:tableColumn id="8" name="equal_weight"/>
    <x:tableColumn id="9" name="weight_sum_check"/>
    <x:tableColumn id="10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tblIkosScore" displayName="tblIkosScore" ref="A1:V18" headerRowCount="1" totalsRowCount="0" totalsRowShown="0">
  <x:autoFilter ref="A1:V18"/>
  <x:tableColumns count="22">
    <x:tableColumn id="1" name="tier"/>
    <x:tableColumn id="2" name="sector_id"/>
    <x:tableColumn id="3" name="sector_name"/>
    <x:tableColumn id="4" name="complete_case"/>
    <x:tableColumn id="5" name="I1"/>
    <x:tableColumn id="6" name="I2"/>
    <x:tableColumn id="7" name="I3"/>
    <x:tableColumn id="8" name="w1_entropy"/>
    <x:tableColumn id="9" name="w2_entropy"/>
    <x:tableColumn id="10" name="w3_entropy"/>
    <x:tableColumn id="11" name="IKOS_entropy_0_1"/>
    <x:tableColumn id="12" name="IKOS_entropy_100"/>
    <x:tableColumn id="13" name="rank_entropy"/>
    <x:tableColumn id="14" name="category_draft"/>
    <x:tableColumn id="15" name="IKOS_equal_0_1"/>
    <x:tableColumn id="16" name="rank_equal"/>
    <x:tableColumn id="17" name="rank_delta"/>
    <x:tableColumn id="18" name="readiness_raw"/>
    <x:tableColumn id="19" name="readiness_index_0_1"/>
    <x:tableColumn id="20" name="quadrant_draft"/>
    <x:tableColumn id="21" name="result_status"/>
    <x:tableColumn id="22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blReadinessOptional" displayName="tblReadinessOptional" ref="A1:N18" headerRowCount="1" totalsRowCount="0" totalsRowShown="0">
  <x:autoFilter ref="A1:N18"/>
  <x:tableColumns count="14">
    <x:tableColumn id="1" name="tier"/>
    <x:tableColumn id="2" name="sector_id"/>
    <x:tableColumn id="3" name="sector_name"/>
    <x:tableColumn id="4" name="metric_variant"/>
    <x:tableColumn id="5" name="numerator"/>
    <x:tableColumn id="6" name="denominator"/>
    <x:tableColumn id="7" name="scale_factor"/>
    <x:tableColumn id="8" name="raw_value"/>
    <x:tableColumn id="9" name="unit"/>
    <x:tableColumn id="10" name="normalized_input_0_1"/>
    <x:tableColumn id="11" name="source_id"/>
    <x:tableColumn id="12" name="evidence_status"/>
    <x:tableColumn id="13" name="workflow_status"/>
    <x:tableColumn id="14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DataQuality" displayName="tblDataQuality" ref="A1:I13" headerRowCount="1" totalsRowCount="0" totalsRowShown="0">
  <x:autoFilter ref="A1:I13"/>
  <x:tableColumns count="9">
    <x:tableColumn id="1" name="check_id"/>
    <x:tableColumn id="2" name="stage"/>
    <x:tableColumn id="3" name="check_description"/>
    <x:tableColumn id="4" name="expected"/>
    <x:tableColumn id="5" name="actual"/>
    <x:tableColumn id="6" name="severity"/>
    <x:tableColumn id="7" name="status"/>
    <x:tableColumn id="8" name="remediation"/>
    <x:tableColumn id="9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DecisionLog" displayName="tblDecisionLog" ref="A1:K16" headerRowCount="1" totalsRowCount="0" totalsRowShown="0">
  <x:autoFilter ref="A1:K16"/>
  <x:tableColumns count="11">
    <x:tableColumn id="1" name="decision_id"/>
    <x:tableColumn id="2" name="topic"/>
    <x:tableColumn id="3" name="issue"/>
    <x:tableColumn id="4" name="options"/>
    <x:tableColumn id="5" name="current_status"/>
    <x:tableColumn id="6" name="recommended_action"/>
    <x:tableColumn id="7" name="owner"/>
    <x:tableColumn id="8" name="due_date"/>
    <x:tableColumn id="9" name="decision"/>
    <x:tableColumn id="10" name="rationale_evidence"/>
    <x:tableColumn id="11" name="downstream_impac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HistoricalRef" displayName="tblHistoricalRef" ref="A1:L7" headerRowCount="1" totalsRowCount="0" totalsRowShown="0">
  <x:autoFilter ref="A1:L7"/>
  <x:tableColumns count="12">
    <x:tableColumn id="1" name="source_id"/>
    <x:tableColumn id="2" name="data_reference_year"/>
    <x:tableColumn id="3" name="publication_year"/>
    <x:tableColumn id="4" name="tier"/>
    <x:tableColumn id="5" name="sector_id"/>
    <x:tableColumn id="6" name="sector_name"/>
    <x:tableColumn id="7" name="indicator_code"/>
    <x:tableColumn id="8" name="value_pct"/>
    <x:tableColumn id="9" name="verification_status"/>
    <x:tableColumn id="10" name="model_use"/>
    <x:tableColumn id="11" name="evidence"/>
    <x:tableColumn id="12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BpsTable69" displayName="tblBpsTable69" ref="A1:O18" headerRowCount="1" totalsRowCount="0" totalsRowShown="0">
  <x:autoFilter ref="A1:O18"/>
  <x:tableColumns count="15">
    <x:tableColumn id="1" name="kbli_category"/>
    <x:tableColumn id="2" name="sector_name"/>
    <x:tableColumn id="3" name="sd_ke_bawah"/>
    <x:tableColumn id="4" name="smp"/>
    <x:tableColumn id="5" name="sma"/>
    <x:tableColumn id="6" name="smk"/>
    <x:tableColumn id="7" name="diploma_1_2_3"/>
    <x:tableColumn id="8" name="diploma_4_s1_s2_s3"/>
    <x:tableColumn id="9" name="le_sma_numerator"/>
    <x:tableColumn id="10" name="total_workers"/>
    <x:tableColumn id="11" name="X1_pct_le_sma"/>
    <x:tableColumn id="12" name="source_id"/>
    <x:tableColumn id="13" name="evidence"/>
    <x:tableColumn id="14" name="verification_status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055fae74984f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f4f206296140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fe1d669ee744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87703ce91b4f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6a3248a0de4d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cbcca8e34c4d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6734711ca047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0caa1bfcf548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9eb3d8e79b547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a184bbb64cf45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79c008db5f4c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77c3319eef94ff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bf4fa35169343b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c1331ef90d943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1" hidden="0" customWidth="1"/>
    <x:col min="4" max="4" width="5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69" t="str">
        <x:v>IKOS MASTER DATASET v1.1</x:v>
      </x:c>
      <x:c r="B1" s="369"/>
      <x:c r="C1" s="369"/>
      <x:c r="D1" s="369"/>
      <x:c r="E1" s="369"/>
      <x:c r="F1" s="369"/>
      <x:c r="G1" s="369"/>
      <x:c r="H1" s="369"/>
    </x:row>
    <x:row r="2">
      <x:c r="A2" s="369"/>
      <x:c r="B2" s="369"/>
      <x:c r="C2" s="369"/>
      <x:c r="D2" s="369"/>
      <x:c r="E2" s="369"/>
      <x:c r="F2" s="369"/>
      <x:c r="G2" s="369"/>
      <x:c r="H2" s="369"/>
    </x:row>
    <x:row r="3">
      <x:c r="A3" s="256" t="str">
        <x:v>Indeks Kerentanan Otomasi Sektoral — data publik resmi terverifikasi + template terformula | Pembaruan 20 Juli 2026</x:v>
      </x:c>
      <x:c r="B3" s="256"/>
      <x:c r="C3" s="256"/>
      <x:c r="D3" s="256"/>
      <x:c r="E3" s="256"/>
      <x:c r="F3" s="256"/>
      <x:c r="G3" s="256"/>
      <x:c r="H3" s="256"/>
    </x:row>
    <x:row r="4">
      <x:c r="A4" s="257"/>
      <x:c r="B4" s="257"/>
      <x:c r="C4" s="257"/>
      <x:c r="D4" s="257"/>
      <x:c r="E4" s="257"/>
      <x:c r="F4" s="257"/>
      <x:c r="G4" s="257"/>
      <x:c r="H4" s="257"/>
    </x:row>
    <x:row r="5" ht="34" customHeight="1">
      <x:c r="A5" s="258" t="str">
        <x:v>Komponen</x:v>
      </x:c>
      <x:c r="B5" s="259" t="str">
        <x:v>Status</x:v>
      </x:c>
      <x:c r="C5" s="259" t="str">
        <x:v>Bukti saat ini</x:v>
      </x:c>
      <x:c r="D5" s="260" t="str">
        <x:v>Implikasi</x:v>
      </x:c>
      <x:c r="E5" s="257"/>
      <x:c r="F5" s="257"/>
      <x:c r="G5" s="257"/>
      <x:c r="H5" s="257"/>
    </x:row>
    <x:row r="6">
      <x:c r="A6" s="223" t="str">
        <x:v>Topik &amp; sudut pandang</x:v>
      </x:c>
      <x:c r="B6" s="224" t="str">
        <x:v>LOCKED</x:v>
      </x:c>
      <x:c r="C6" s="224" t="str">
        <x:v>Subtema 2; IKOS sebagai indeks kerentanan otomasi sektoral</x:v>
      </x:c>
      <x:c r="D6" s="225" t="str">
        <x:v>Siap dipakai</x:v>
      </x:c>
      <x:c r="E6" s="257"/>
      <x:c r="F6" s="257"/>
      <x:c r="G6" s="257"/>
      <x:c r="H6" s="257"/>
    </x:row>
    <x:row r="7">
      <x:c r="A7" s="226" t="str">
        <x:v>Desain metodologi</x:v>
      </x:c>
      <x:c r="B7" s="227" t="str">
        <x:v>MAJOR REVISION</x:v>
      </x:c>
      <x:c r="C7" s="227" t="str">
        <x:v>Tiga dimensi, goalpost, entropy, dan geometric mean sudah dirancang</x:v>
      </x:c>
      <x:c r="D7" s="228" t="str">
        <x:v>Validasi keputusan draft sebelum skor</x:v>
      </x:c>
      <x:c r="E7" s="257"/>
      <x:c r="F7" s="257"/>
      <x:c r="G7" s="257"/>
      <x:c r="H7" s="257"/>
    </x:row>
    <x:row r="8">
      <x:c r="A8" s="226" t="str">
        <x:v>Referensi</x:v>
      </x:c>
      <x:c r="B8" s="227" t="str">
        <x:v>8/11 VERIFIED</x:v>
      </x:c>
      <x:c r="C8" s="227" t="str">
        <x:v>Verifikasi literatur maju; dua deliverable final yang disebut belum ada di folder</x:v>
      </x:c>
      <x:c r="D8" s="228" t="str">
        <x:v>Rapikan jejak bukti</x:v>
      </x:c>
      <x:c r="E8" s="257"/>
      <x:c r="F8" s="257"/>
      <x:c r="G8" s="257"/>
      <x:c r="H8" s="257"/>
    </x:row>
    <x:row r="9">
      <x:c r="A9" s="226" t="str">
        <x:v>Akses data</x:v>
      </x:c>
      <x:c r="B9" s="227" t="str">
        <x:v>PARTIAL</x:v>
      </x:c>
      <x:c r="C9" s="227" t="str">
        <x:v>X1 tersedia dari BPS Tabel 69; lookup GenAI tersedia dari ILO; sektor × okupasi belum tersedia</x:v>
      </x:c>
      <x:c r="D9" s="228" t="str">
        <x:v>X2/X3 sektoral masih terblokir</x:v>
      </x:c>
      <x:c r="E9" s="257"/>
      <x:c r="F9" s="257"/>
      <x:c r="G9" s="257"/>
      <x:c r="H9" s="257"/>
    </x:row>
    <x:row r="10">
      <x:c r="A10" s="229" t="str">
        <x:v>Analisis &amp; esai</x:v>
      </x:c>
      <x:c r="B10" s="230" t="str">
        <x:v>PARTIAL DATA ONLY</x:v>
      </x:c>
      <x:c r="C10" s="230" t="str">
        <x:v>X1 Tier B dan S7–S11 sudah dapat dihitung; skor IKOS belum dapat dihitung</x:v>
      </x:c>
      <x:c r="D10" s="231" t="str">
        <x:v>Lanjut setelah crosswalk sektor × okupasi</x:v>
      </x:c>
      <x:c r="E10" s="257"/>
      <x:c r="F10" s="257"/>
      <x:c r="G10" s="257"/>
      <x:c r="H10" s="257"/>
    </x:row>
    <x:row r="11">
      <x:c r="A11" s="257"/>
      <x:c r="B11" s="257"/>
      <x:c r="C11" s="257"/>
      <x:c r="D11" s="257"/>
      <x:c r="E11" s="257"/>
      <x:c r="F11" s="257"/>
      <x:c r="G11" s="257"/>
      <x:c r="H11" s="257"/>
    </x:row>
    <x:row r="12" ht="34" customHeight="1">
      <x:c r="A12" s="258" t="str">
        <x:v>Parameter kontrol</x:v>
      </x:c>
      <x:c r="B12" s="259" t="str">
        <x:v>Nilai</x:v>
      </x:c>
      <x:c r="C12" s="259" t="str">
        <x:v>Status</x:v>
      </x:c>
      <x:c r="D12" s="260" t="str">
        <x:v>Catatan</x:v>
      </x:c>
      <x:c r="E12" s="257"/>
      <x:c r="F12" s="257"/>
      <x:c r="G12" s="257"/>
      <x:c r="H12" s="257"/>
    </x:row>
    <x:row r="13">
      <x:c r="A13" s="223" t="str">
        <x:v>Active Tier</x:v>
      </x:c>
      <x:c r="B13" s="232" t="str">
        <x:v>UNRESOLVED</x:v>
      </x:c>
      <x:c r="C13" s="224" t="str">
        <x:v>BLOCKED</x:v>
      </x:c>
      <x:c r="D13" s="225" t="str">
        <x:v>Pilih Tier A hanya jika KBLI 2-digit + okupasi rinci tersedia; Tier B jika KBLI 1-digit + okupasi rinci tersedia.</x:v>
      </x:c>
      <x:c r="E13" s="257"/>
      <x:c r="F13" s="257"/>
      <x:c r="G13" s="257"/>
      <x:c r="H13" s="257"/>
    </x:row>
    <x:row r="14">
      <x:c r="A14" s="226" t="str">
        <x:v>Expected active sectors</x:v>
      </x:c>
      <x:c r="B14" s="233" t="str">
        <x:f>IF(B13="Tier A",11,IF(B13="Tier B",6,""))</x:f>
      </x:c>
      <x:c r="C14" s="227" t="str">
        <x:v>FORMULA</x:v>
      </x:c>
      <x:c r="D14" s="228" t="str">
        <x:v>Tier A = 11. Tier B sementara = 6 karena definisi dokumen 1 gabungan manufaktur + 5 sektor lain.</x:v>
      </x:c>
      <x:c r="E14" s="257"/>
      <x:c r="F14" s="257"/>
      <x:c r="G14" s="257"/>
      <x:c r="H14" s="257"/>
    </x:row>
    <x:row r="15">
      <x:c r="A15" s="226" t="str">
        <x:v>Epsilon</x:v>
      </x:c>
      <x:c r="B15" s="234" t="n">
        <x:v>0.01</x:v>
      </x:c>
      <x:c r="C15" s="227" t="str">
        <x:v>LOCKED</x:v>
      </x:c>
      <x:c r="D15" s="228" t="str">
        <x:v>Floor normalisasi untuk weighted geometric mean.</x:v>
      </x:c>
      <x:c r="E15" s="257"/>
      <x:c r="F15" s="257"/>
      <x:c r="G15" s="257"/>
      <x:c r="H15" s="257"/>
    </x:row>
    <x:row r="16">
      <x:c r="A16" s="226" t="str">
        <x:v>X1 goalpost min</x:v>
      </x:c>
      <x:c r="B16" s="235" t="n">
        <x:v>0</x:v>
      </x:c>
      <x:c r="C16" s="227" t="str">
        <x:v>LOCKED</x:v>
      </x:c>
      <x:c r="D16" s="228" t="str">
        <x:v>% pekerja berpendidikan ≤SMA.</x:v>
      </x:c>
      <x:c r="E16" s="257"/>
      <x:c r="F16" s="257"/>
      <x:c r="G16" s="257"/>
      <x:c r="H16" s="257"/>
    </x:row>
    <x:row r="17">
      <x:c r="A17" s="226" t="str">
        <x:v>X1 goalpost max</x:v>
      </x:c>
      <x:c r="B17" s="235" t="n">
        <x:v>100</x:v>
      </x:c>
      <x:c r="C17" s="227" t="str">
        <x:v>LOCKED</x:v>
      </x:c>
      <x:c r="D17" s="228" t="str">
        <x:v>% pekerja berpendidikan ≤SMA.</x:v>
      </x:c>
      <x:c r="E17" s="257"/>
      <x:c r="F17" s="257"/>
      <x:c r="G17" s="257"/>
      <x:c r="H17" s="257"/>
    </x:row>
    <x:row r="18">
      <x:c r="A18" s="226" t="str">
        <x:v>X2 goalpost min</x:v>
      </x:c>
      <x:c r="B18" s="235" t="n">
        <x:v>0</x:v>
      </x:c>
      <x:c r="C18" s="227" t="str">
        <x:v>LOCKED</x:v>
      </x:c>
      <x:c r="D18" s="228" t="str">
        <x:v>% pekerja pada okupasi berisiko otomasi tinggi.</x:v>
      </x:c>
      <x:c r="E18" s="257"/>
      <x:c r="F18" s="257"/>
      <x:c r="G18" s="257"/>
      <x:c r="H18" s="257"/>
    </x:row>
    <x:row r="19">
      <x:c r="A19" s="226" t="str">
        <x:v>X2 goalpost max</x:v>
      </x:c>
      <x:c r="B19" s="235" t="n">
        <x:v>100</x:v>
      </x:c>
      <x:c r="C19" s="227" t="str">
        <x:v>LOCKED</x:v>
      </x:c>
      <x:c r="D19" s="228" t="str">
        <x:v>% pekerja pada okupasi berisiko otomasi tinggi.</x:v>
      </x:c>
      <x:c r="E19" s="257"/>
      <x:c r="F19" s="257"/>
      <x:c r="G19" s="257"/>
      <x:c r="H19" s="257"/>
    </x:row>
    <x:row r="20">
      <x:c r="A20" s="226" t="str">
        <x:v>X3 goalpost min</x:v>
      </x:c>
      <x:c r="B20" s="235" t="n">
        <x:v>0</x:v>
      </x:c>
      <x:c r="C20" s="227" t="str">
        <x:v>LOCKED</x:v>
      </x:c>
      <x:c r="D20" s="228" t="str">
        <x:v>Skor paparan GenAI tertimbang.</x:v>
      </x:c>
      <x:c r="E20" s="257"/>
      <x:c r="F20" s="257"/>
      <x:c r="G20" s="257"/>
      <x:c r="H20" s="257"/>
    </x:row>
    <x:row r="21">
      <x:c r="A21" s="226" t="str">
        <x:v>X3 goalpost max</x:v>
      </x:c>
      <x:c r="B21" s="235" t="n">
        <x:v>5</x:v>
      </x:c>
      <x:c r="C21" s="227" t="str">
        <x:v>LOCKED</x:v>
      </x:c>
      <x:c r="D21" s="228" t="str">
        <x:v>Skor paparan GenAI tertimbang.</x:v>
      </x:c>
      <x:c r="E21" s="257"/>
      <x:c r="F21" s="257"/>
      <x:c r="G21" s="257"/>
      <x:c r="H21" s="257"/>
    </x:row>
    <x:row r="22">
      <x:c r="A22" s="226" t="str">
        <x:v>High group size</x:v>
      </x:c>
      <x:c r="B22" s="233" t="str">
        <x:f>IF(B13="Tier A",3,IF(B13="Tier B",2,""))</x:f>
      </x:c>
      <x:c r="C22" s="227" t="str">
        <x:v>DRAFT</x:v>
      </x:c>
      <x:c r="D22" s="228" t="str">
        <x:v>Tier A = 3; Tier B = 2. Aturan kategorisasi masih perlu persetujuan tim.</x:v>
      </x:c>
      <x:c r="E22" s="257"/>
      <x:c r="F22" s="257"/>
      <x:c r="G22" s="257"/>
      <x:c r="H22" s="257"/>
    </x:row>
    <x:row r="23">
      <x:c r="A23" s="226" t="str">
        <x:v>Middle group size</x:v>
      </x:c>
      <x:c r="B23" s="233" t="str">
        <x:f>IF(B13="Tier A",4,IF(B13="Tier B",2,""))</x:f>
      </x:c>
      <x:c r="C23" s="227" t="str">
        <x:v>DRAFT</x:v>
      </x:c>
      <x:c r="D23" s="228" t="str">
        <x:v>Tier A = 4; Tier B = 2. Sisa sektor menjadi kategori rendah.</x:v>
      </x:c>
      <x:c r="E23" s="257"/>
      <x:c r="F23" s="257"/>
      <x:c r="G23" s="257"/>
      <x:c r="H23" s="257"/>
    </x:row>
    <x:row r="24">
      <x:c r="A24" s="226" t="str">
        <x:v>Data gate deadline</x:v>
      </x:c>
      <x:c r="B24" s="236" t="n">
        <x:v>46221</x:v>
      </x:c>
      <x:c r="C24" s="227" t="str">
        <x:v>OVERDUE</x:v>
      </x:c>
      <x:c r="D24" s="228" t="str">
        <x:v>Deadline internal 48–72 jam dari 15 Juli 2026.</x:v>
      </x:c>
      <x:c r="E24" s="257"/>
      <x:c r="F24" s="257"/>
      <x:c r="G24" s="257"/>
      <x:c r="H24" s="257"/>
    </x:row>
    <x:row r="25">
      <x:c r="A25" s="226" t="str">
        <x:v>Safe submission deadline</x:v>
      </x:c>
      <x:c r="B25" s="236" t="n">
        <x:v>46239</x:v>
      </x:c>
      <x:c r="C25" s="227" t="str">
        <x:v>USE UNTIL CONFIRMED</x:v>
      </x:c>
      <x:c r="D25" s="228" t="str">
        <x:v>Panduan memuat konflik 5 Agustus vs 10 Agustus 2026.</x:v>
      </x:c>
      <x:c r="E25" s="257"/>
      <x:c r="F25" s="257"/>
      <x:c r="G25" s="257"/>
      <x:c r="H25" s="257"/>
    </x:row>
    <x:row r="26">
      <x:c r="A26" s="226" t="str">
        <x:v>Conflicting deadline</x:v>
      </x:c>
      <x:c r="B26" s="236" t="n">
        <x:v>46244.99930555555</x:v>
      </x:c>
      <x:c r="C26" s="227" t="str">
        <x:v>VERIFY</x:v>
      </x:c>
      <x:c r="D26" s="228" t="str">
        <x:v>Tanggal 10 Agustus 2026 juga salah disebut Sabtu; konfirmasi panitia.</x:v>
      </x:c>
      <x:c r="E26" s="257"/>
      <x:c r="F26" s="257"/>
      <x:c r="G26" s="257"/>
      <x:c r="H26" s="257"/>
    </x:row>
    <x:row r="27">
      <x:c r="A27" s="226" t="str">
        <x:v>Model version</x:v>
      </x:c>
      <x:c r="B27" s="227" t="str">
        <x:v>IKOS_v1.1_3D_Entropy</x:v>
      </x:c>
      <x:c r="C27" s="227" t="str">
        <x:v>DRAFT</x:v>
      </x:c>
      <x:c r="D27" s="228" t="str">
        <x:v>Ganti versi jika dimensi/tier/metode berubah.</x:v>
      </x:c>
      <x:c r="E27" s="257"/>
      <x:c r="F27" s="257"/>
      <x:c r="G27" s="257"/>
      <x:c r="H27" s="257"/>
    </x:row>
    <x:row r="28">
      <x:c r="A28" s="226" t="str">
        <x:v>Run status</x:v>
      </x:c>
      <x:c r="B28" s="233" t="str">
        <x:f>IF(B13="UNRESOLVED","BLOCKED — PILIH TIER",IF(COUNTIFS('06_INDICATORS_RAW'!$A$2:$A$18,B13,'06_INDICATORS_RAW'!$W$2:$W$18,"READY")=B14,"READY TO COMPUTE","DATA PENDING"))</x:f>
        <x:v>BLOCKED — PILIH TIER</x:v>
      </x:c>
      <x:c r="C28" s="227" t="str">
        <x:v>FORMULA</x:v>
      </x:c>
      <x:c r="D28" s="228" t="str">
        <x:v>READY hanya jika tier dipilih dan seluruh sektor aktif memiliki X1, X2, X3 terverifikasi.</x:v>
      </x:c>
      <x:c r="E28" s="257"/>
      <x:c r="F28" s="257"/>
      <x:c r="G28" s="257"/>
      <x:c r="H28" s="257"/>
    </x:row>
    <x:row r="29">
      <x:c r="A29" s="229"/>
      <x:c r="B29" s="230"/>
      <x:c r="C29" s="230"/>
      <x:c r="D29" s="231"/>
      <x:c r="E29" s="257"/>
      <x:c r="F29" s="257"/>
      <x:c r="G29" s="257"/>
      <x:c r="H29" s="257"/>
    </x:row>
    <x:row r="30">
      <x:c r="A30" s="257"/>
      <x:c r="B30" s="257"/>
      <x:c r="C30" s="257"/>
      <x:c r="D30" s="257"/>
      <x:c r="E30" s="257"/>
      <x:c r="F30" s="257"/>
      <x:c r="G30" s="257"/>
      <x:c r="H30" s="257"/>
    </x:row>
    <x:row r="31">
      <x:c r="A31" s="261" t="str">
        <x:v>Cara pakai — urutan wajib</x:v>
      </x:c>
      <x:c r="B31" s="262"/>
      <x:c r="C31" s="262"/>
      <x:c r="D31" s="262"/>
      <x:c r="E31" s="262"/>
      <x:c r="F31" s="262"/>
      <x:c r="G31" s="262"/>
      <x:c r="H31" s="263"/>
    </x:row>
    <x:row r="32">
      <x:c r="A32" s="264" t="str">
        <x:v>1</x:v>
      </x:c>
      <x:c r="B32" s="265" t="str">
        <x:v>Selesaikan data gate</x:v>
      </x:c>
      <x:c r="C32" s="223" t="str">
        <x:v>Pastikan Sakernas yang diperoleh memuat KBLI, KBJI, pendidikan, dan bobot dalam file responden yang sama atau minta tabulasi tertimbang khusus BPS.</x:v>
      </x:c>
      <x:c r="D32" s="224"/>
      <x:c r="E32" s="224"/>
      <x:c r="F32" s="224"/>
      <x:c r="G32" s="224"/>
      <x:c r="H32" s="225"/>
    </x:row>
    <x:row r="33">
      <x:c r="A33" s="266" t="str">
        <x:v>2</x:v>
      </x:c>
      <x:c r="B33" s="267" t="str">
        <x:v>Kunci tier dan keputusan</x:v>
      </x:c>
      <x:c r="C33" s="226" t="str">
        <x:v>Isi 12_DECISION_LOG. Jangan menamai Tier B sebagai 7 sektor sebelum konflik definisinya diselesaikan.</x:v>
      </x:c>
      <x:c r="D33" s="227"/>
      <x:c r="E33" s="227"/>
      <x:c r="F33" s="227"/>
      <x:c r="G33" s="227"/>
      <x:c r="H33" s="228"/>
    </x:row>
    <x:row r="34">
      <x:c r="A34" s="266" t="str">
        <x:v>3</x:v>
      </x:c>
      <x:c r="B34" s="267" t="str">
        <x:v>Lengkapi lookup</x:v>
      </x:c>
      <x:c r="C34" s="226" t="str">
        <x:v>Isi 03_OCCUPATION_MASTER dengan crosswalk KBJI–ISCO, risiko ILO 2016, dan skor GenAI 2025/2026 beserta bukti.</x:v>
      </x:c>
      <x:c r="D34" s="227"/>
      <x:c r="E34" s="227"/>
      <x:c r="F34" s="227"/>
      <x:c r="G34" s="227"/>
      <x:c r="H34" s="228"/>
    </x:row>
    <x:row r="35">
      <x:c r="A35" s="266" t="str">
        <x:v>4</x:v>
      </x:c>
      <x:c r="B35" s="267" t="str">
        <x:v>Masukkan agregat Sakernas</x:v>
      </x:c>
      <x:c r="C35" s="226" t="str">
        <x:v>Isi 04_SAKERNAS_AGG. Jangan menyimpan nama, NIK, alamat, atau pengenal langsung di workbook.</x:v>
      </x:c>
      <x:c r="D35" s="227"/>
      <x:c r="E35" s="227"/>
      <x:c r="F35" s="227"/>
      <x:c r="G35" s="227"/>
      <x:c r="H35" s="228"/>
    </x:row>
    <x:row r="36">
      <x:c r="A36" s="266" t="str">
        <x:v>5</x:v>
      </x:c>
      <x:c r="B36" s="267" t="str">
        <x:v>Bangun crosswalk</x:v>
      </x:c>
      <x:c r="C36" s="226" t="str">
        <x:v>Isi 05_SECTOR_OCC_CROSSWALK; share per sektor harus 1 dan coverage mapping risiko/paparan harus penuh.</x:v>
      </x:c>
      <x:c r="D36" s="227"/>
      <x:c r="E36" s="227"/>
      <x:c r="F36" s="227"/>
      <x:c r="G36" s="227"/>
      <x:c r="H36" s="228"/>
    </x:row>
    <x:row r="37">
      <x:c r="A37" s="266" t="str">
        <x:v>6</x:v>
      </x:c>
      <x:c r="B37" s="267" t="str">
        <x:v>Verifikasi sebelum menghitung</x:v>
      </x:c>
      <x:c r="C37" s="226" t="str">
        <x:v>Ubah status sumber menjadi VERIFIED hanya setelah pemeriksaan. 06–09 akan menghitung otomatis saat cohort lengkap.</x:v>
      </x:c>
      <x:c r="D37" s="227"/>
      <x:c r="E37" s="227"/>
      <x:c r="F37" s="227"/>
      <x:c r="G37" s="227"/>
      <x:c r="H37" s="228"/>
    </x:row>
    <x:row r="38">
      <x:c r="A38" s="268" t="str">
        <x:v>7</x:v>
      </x:c>
      <x:c r="B38" s="269" t="str">
        <x:v>Uji sensitivitas</x:v>
      </x:c>
      <x:c r="C38" s="229" t="str">
        <x:v>Bandingkan entropy vs equal weight dan dokumentasikan perubahan rank; kategori/kuadran masih berstatus draft.</x:v>
      </x:c>
      <x:c r="D38" s="230"/>
      <x:c r="E38" s="230"/>
      <x:c r="F38" s="230"/>
      <x:c r="G38" s="230"/>
      <x:c r="H38" s="231"/>
    </x:row>
    <x:row r="39">
      <x:c r="A39" s="257"/>
      <x:c r="B39" s="257"/>
      <x:c r="C39" s="257"/>
      <x:c r="D39" s="257"/>
      <x:c r="E39" s="257"/>
      <x:c r="F39" s="257"/>
      <x:c r="G39" s="257"/>
      <x:c r="H39" s="257"/>
    </x:row>
    <x:row r="40">
      <x:c r="A40" s="270" t="str">
        <x:v>Peringatan metode: Tier B mengatasi keterbatasan rincian industri, tetapi tetap membutuhkan komposisi okupasi di dalam sektor untuk X2 dan X3. Jika hanya KBJI 1-digit tersedia, model IKOS 3D terkunci tidak layak dihitung.</x:v>
      </x:c>
      <x:c r="B40" s="271"/>
      <x:c r="C40" s="271"/>
      <x:c r="D40" s="271"/>
      <x:c r="E40" s="271"/>
      <x:c r="F40" s="271"/>
      <x:c r="G40" s="271"/>
      <x:c r="H40" s="272"/>
    </x:row>
    <x:row r="41">
      <x:c r="A41" s="273"/>
      <x:c r="B41" s="274"/>
      <x:c r="C41" s="274"/>
      <x:c r="D41" s="274"/>
      <x:c r="E41" s="274"/>
      <x:c r="F41" s="274"/>
      <x:c r="G41" s="274"/>
      <x:c r="H41" s="275"/>
    </x:row>
    <x:row r="42">
      <x:c r="A42" s="276"/>
      <x:c r="B42" s="277"/>
      <x:c r="C42" s="277"/>
      <x:c r="D42" s="277"/>
      <x:c r="E42" s="277"/>
      <x:c r="F42" s="277"/>
      <x:c r="G42" s="277"/>
      <x:c r="H42" s="278"/>
    </x:row>
  </x:sheetData>
  <x:mergeCells>
    <x:mergeCell ref="A1:H2"/>
    <x:mergeCell ref="A3:H3"/>
    <x:mergeCell ref="A31:H31"/>
    <x:mergeCell ref="C32:H32"/>
    <x:mergeCell ref="C33:H33"/>
    <x:mergeCell ref="C34:H34"/>
    <x:mergeCell ref="C35:H35"/>
    <x:mergeCell ref="C36:H36"/>
    <x:mergeCell ref="C37:H37"/>
    <x:mergeCell ref="C38:H38"/>
    <x:mergeCell ref="A40:H42"/>
  </x:mergeCells>
  <x:conditionalFormatting sqref="B6:B10">
    <x:cfRule type="containsText" dxfId="0" priority="1" operator="containsText" text="BLOCKED"/>
    <x:cfRule type="containsText" dxfId="1" priority="2" operator="containsText" text="ERROR"/>
    <x:cfRule type="containsText" dxfId="2" priority="3" operator="containsText" text="READY"/>
    <x:cfRule type="containsText" dxfId="3" priority="4" operator="containsText" text="VERIFIED"/>
    <x:cfRule type="containsText" dxfId="4" priority="5" operator="containsText" text="PENDING"/>
  </x:conditionalFormatting>
  <x:conditionalFormatting sqref="C13:C29">
    <x:cfRule type="containsText" dxfId="5" priority="6" operator="containsText" text="BLOCKED"/>
    <x:cfRule type="containsText" dxfId="6" priority="7" operator="containsText" text="ERROR"/>
    <x:cfRule type="containsText" dxfId="7" priority="8" operator="containsText" text="READY"/>
    <x:cfRule type="containsText" dxfId="8" priority="9" operator="containsText" text="VERIFIED"/>
    <x:cfRule type="containsText" dxfId="9" priority="10" operator="containsText" text="PENDING"/>
  </x:conditionalFormatting>
  <x:conditionalFormatting sqref="B28:B28">
    <x:cfRule type="containsText" dxfId="10" priority="11" operator="containsText" text="BLOCKED"/>
    <x:cfRule type="containsText" dxfId="11" priority="12" operator="containsText" text="ERROR"/>
    <x:cfRule type="containsText" dxfId="12" priority="13" operator="containsText" text="READY"/>
    <x:cfRule type="containsText" dxfId="13" priority="14" operator="containsText" text="VERIFIED"/>
    <x:cfRule type="containsText" dxfId="14" priority="15" operator="containsText" text="PENDING"/>
  </x:conditionalFormatting>
  <x:dataValidations count="1">
    <x:dataValidation type="list" sqref="B13">
      <x:formula1>"UNRESOLVED,Tier A,Tier B"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14" hidden="0" customWidth="1"/>
    <x:col min="5" max="5" width="14" hidden="0" customWidth="1"/>
    <x:col min="6" max="6" width="20" hidden="0" customWidth="1"/>
    <x:col min="7" max="7" width="34" hidden="0" customWidth="1"/>
    <x:col min="8" max="8" width="18" hidden="0" customWidth="1"/>
    <x:col min="9" max="9" width="22" hidden="0" customWidth="1"/>
    <x:col min="10" max="10" width="52" hidden="0" customWidth="1"/>
    <x:col min="11" max="11" width="15" hidden="0" customWidth="1"/>
    <x:col min="12" max="12" width="24" hidden="0" customWidth="1"/>
    <x:col min="13" max="13" width="22" hidden="0" customWidth="1"/>
    <x:col min="14" max="14" width="48" hidden="0" customWidth="1"/>
  </x:cols>
  <x:sheetData>
    <x:row r="1" ht="34" customHeight="1">
      <x:c r="A1" s="220" t="str">
        <x:v>source_id</x:v>
      </x:c>
      <x:c r="B1" s="221" t="str">
        <x:v>institution</x:v>
      </x:c>
      <x:c r="C1" s="221" t="str">
        <x:v>title</x:v>
      </x:c>
      <x:c r="D1" s="221" t="str">
        <x:v>publication_year</x:v>
      </x:c>
      <x:c r="E1" s="221" t="str">
        <x:v>reference_year</x:v>
      </x:c>
      <x:c r="F1" s="221" t="str">
        <x:v>source_type</x:v>
      </x:c>
      <x:c r="G1" s="221" t="str">
        <x:v>expected_use</x:v>
      </x:c>
      <x:c r="H1" s="221" t="str">
        <x:v>access_level</x:v>
      </x:c>
      <x:c r="I1" s="221" t="str">
        <x:v>access_status</x:v>
      </x:c>
      <x:c r="J1" s="221" t="str">
        <x:v>url</x:v>
      </x:c>
      <x:c r="K1" s="221" t="str">
        <x:v>access_date</x:v>
      </x:c>
      <x:c r="L1" s="221" t="str">
        <x:v>evidence_page_table</x:v>
      </x:c>
      <x:c r="M1" s="221" t="str">
        <x:v>file_hash</x:v>
      </x:c>
      <x:c r="N1" s="222" t="str">
        <x:v>notes</x:v>
      </x:c>
    </x:row>
    <x:row r="2">
      <x:c r="A2" s="223" t="str">
        <x:v>DRV_GUIDE</x:v>
      </x:c>
      <x:c r="B2" s="224" t="str">
        <x:v>Panitia HIPOTEX-R 2026</x:v>
      </x:c>
      <x:c r="C2" s="224" t="str">
        <x:v>Guidebook Lomba Esai Mahasiswa</x:v>
      </x:c>
      <x:c r="D2" s="279" t="n">
        <x:v>2026</x:v>
      </x:c>
      <x:c r="E2" s="279" t="n">
        <x:v>2026</x:v>
      </x:c>
      <x:c r="F2" s="224" t="str">
        <x:v>Guidebook</x:v>
      </x:c>
      <x:c r="G2" s="224" t="str">
        <x:v>Tema, format, penilaian, deadline</x:v>
      </x:c>
      <x:c r="H2" s="224" t="str">
        <x:v>Drive tim</x:v>
      </x:c>
      <x:c r="I2" s="224" t="str">
        <x:v>VERIFIED</x:v>
      </x:c>
      <x:c r="J2" s="224" t="str">
        <x:v>https://drive.google.com/drive/folders/1_3fZkkqdPapz_Zt4nKzC5vpCRfw8lB6x</x:v>
      </x:c>
      <x:c r="K2" s="280" t="n">
        <x:v>46223</x:v>
      </x:c>
      <x:c r="L2" s="224" t="str">
        <x:v>Teks hasil ekstraksi PDF</x:v>
      </x:c>
      <x:c r="M2" s="224" t="str"/>
      <x:c r="N2" s="225" t="str">
        <x:v>Deadline 5 Agustus dan 10 Agustus saling bertentangan.</x:v>
      </x:c>
    </x:row>
    <x:row r="3">
      <x:c r="A3" s="226" t="str">
        <x:v>DRV_SPEC</x:v>
      </x:c>
      <x:c r="B3" s="227" t="str">
        <x:v>Tim IKOS</x:v>
      </x:c>
      <x:c r="C3" s="227" t="str">
        <x:v>07_IKOS_SPECIFICATION_FINAL.md</x:v>
      </x:c>
      <x:c r="D3" s="281" t="n">
        <x:v>2026</x:v>
      </x:c>
      <x:c r="E3" s="281" t="n">
        <x:v>2026</x:v>
      </x:c>
      <x:c r="F3" s="227" t="str">
        <x:v>Specification</x:v>
      </x:c>
      <x:c r="G3" s="227" t="str">
        <x:v>Definisi indikator dan model</x:v>
      </x:c>
      <x:c r="H3" s="227" t="str">
        <x:v>Drive tim</x:v>
      </x:c>
      <x:c r="I3" s="227" t="str">
        <x:v>VERIFIED</x:v>
      </x:c>
      <x:c r="J3" s="227" t="str">
        <x:v>https://drive.google.com/drive/folders/1_3fZkkqdPapz_Zt4nKzC5vpCRfw8lB6x</x:v>
      </x:c>
      <x:c r="K3" s="236" t="n">
        <x:v>46223</x:v>
      </x:c>
      <x:c r="L3" s="227" t="str">
        <x:v>Bagian 1–29</x:v>
      </x:c>
      <x:c r="M3" s="227" t="str"/>
      <x:c r="N3" s="228" t="str">
        <x:v>Nama file FINAL, tetapi metadata masih Draft v1.0; Bagian 15–29 perlu validasi.</x:v>
      </x:c>
    </x:row>
    <x:row r="4">
      <x:c r="A4" s="226" t="str">
        <x:v>BPS_SAK25_MICRO</x:v>
      </x:c>
      <x:c r="B4" s="227" t="str">
        <x:v>BPS</x:v>
      </x:c>
      <x:c r="C4" s="227" t="str">
        <x:v>Mikrodata Sakernas Agustus 2025</x:v>
      </x:c>
      <x:c r="D4" s="281" t="n">
        <x:v>2026</x:v>
      </x:c>
      <x:c r="E4" s="281" t="n">
        <x:v>2025</x:v>
      </x:c>
      <x:c r="F4" s="227" t="str">
        <x:v>Microdata metadata</x:v>
      </x:c>
      <x:c r="G4" s="227" t="str">
        <x:v>X1 dan crosswalk sektor × okupasi</x:v>
      </x:c>
      <x:c r="H4" s="227" t="str">
        <x:v>Berbayar/SPPD</x:v>
      </x:c>
      <x:c r="I4" s="227" t="str">
        <x:v>RESTRICTED</x:v>
      </x:c>
      <x:c r="J4" s="227" t="str">
        <x:v>https://silastik.bps.go.id/v3/index.php/mikrodata/detail/ZmpnL2FkNDBLZkJqVTZmUERWbXFZdz09</x:v>
      </x:c>
      <x:c r="K4" s="236" t="n">
        <x:v>46223</x:v>
      </x:c>
      <x:c r="L4" s="227" t="str">
        <x:v>Metadata SILASTIK</x:v>
      </x:c>
      <x:c r="M4" s="227" t="str"/>
      <x:c r="N4" s="228" t="str">
        <x:v>Harga tertera Rp7.940.025; konfirmasi KBLI 2-digit dan KBJI 4-digit sebelum membeli.</x:v>
      </x:c>
    </x:row>
    <x:row r="5">
      <x:c r="A5" s="226" t="str">
        <x:v>BPS_SAK25_PUB</x:v>
      </x:c>
      <x:c r="B5" s="227" t="str">
        <x:v>BPS</x:v>
      </x:c>
      <x:c r="C5" s="227" t="str">
        <x:v>Keadaan Angkatan Kerja di Indonesia Agustus 2025</x:v>
      </x:c>
      <x:c r="D5" s="281" t="n">
        <x:v>2025</x:v>
      </x:c>
      <x:c r="E5" s="281" t="n">
        <x:v>2025</x:v>
      </x:c>
      <x:c r="F5" s="227" t="str">
        <x:v>Publication + table</x:v>
      </x:c>
      <x:c r="G5" s="227" t="str">
        <x:v>X1 sektor dari Tabel 69</x:v>
      </x:c>
      <x:c r="H5" s="227" t="str">
        <x:v>Publik</x:v>
      </x:c>
      <x:c r="I5" s="227" t="str">
        <x:v>VERIFIED_FOR_X1</x:v>
      </x:c>
      <x:c r="J5" s="227" t="str">
        <x:v>https://www.bps.go.id/id/publication/2025/12/19/42a75ee61332755586fdfcdd/keadaan-angkatan-kerja-di-indonesia-agustus-2025.html</x:v>
      </x:c>
      <x:c r="K5" s="236" t="n">
        <x:v>46223</x:v>
      </x:c>
      <x:c r="L5" s="227" t="str">
        <x:v>Tabel 69, halaman buku 103–104; PDF 160–161</x:v>
      </x:c>
      <x:c r="M5" s="227" t="str"/>
      <x:c r="N5" s="228" t="str">
        <x:v>Menyediakan sektor KBLI 2020 kategori × pendidikan. Tidak menyediakan sektor × okupasi yang dibutuhkan X2/X3.</x:v>
      </x:c>
    </x:row>
    <x:row r="6">
      <x:c r="A6" s="226" t="str">
        <x:v>BPS_KBJI14</x:v>
      </x:c>
      <x:c r="B6" s="227" t="str">
        <x:v>BPS</x:v>
      </x:c>
      <x:c r="C6" s="227" t="str">
        <x:v>Klasifikasi Baku Jabatan Indonesia 2014</x:v>
      </x:c>
      <x:c r="D6" s="281" t="n">
        <x:v>2014</x:v>
      </x:c>
      <x:c r="E6" s="281" t="n">
        <x:v>2014</x:v>
      </x:c>
      <x:c r="F6" s="227" t="str">
        <x:v>Classification PDF</x:v>
      </x:c>
      <x:c r="G6" s="227" t="str">
        <x:v>Harmonisasi KBJI ke ISCO-08</x:v>
      </x:c>
      <x:c r="H6" s="227" t="str">
        <x:v>Publik</x:v>
      </x:c>
      <x:c r="I6" s="227" t="str">
        <x:v>VERIFIED</x:v>
      </x:c>
      <x:c r="J6" s="227" t="str">
        <x:v>https://ppid.bps.go.id/upload/doc/Klasifikasi_Baku_Jabatan_Indonesia_2014_1659512277.pdf</x:v>
      </x:c>
      <x:c r="K6" s="236" t="n">
        <x:v>46223</x:v>
      </x:c>
      <x:c r="L6" s="227" t="str">
        <x:v>Struktur 4/6 digit</x:v>
      </x:c>
      <x:c r="M6" s="227" t="str"/>
      <x:c r="N6" s="228" t="str">
        <x:v>KBJI 2014 mengadopsi ISCO-08 pada struktur 4 digit; crosswalk persis tetap perlu diverifikasi.</x:v>
      </x:c>
    </x:row>
    <x:row r="7">
      <x:c r="A7" s="226" t="str">
        <x:v>ILO_AUT16</x:v>
      </x:c>
      <x:c r="B7" s="227" t="str">
        <x:v>ILO</x:v>
      </x:c>
      <x:c r="C7" s="227" t="str">
        <x:v>ASEAN in transformation: The future of jobs at risk of automation</x:v>
      </x:c>
      <x:c r="D7" s="281" t="n">
        <x:v>2016</x:v>
      </x:c>
      <x:c r="E7" s="281" t="n">
        <x:v>2010</x:v>
      </x:c>
      <x:c r="F7" s="227" t="str">
        <x:v>Research report</x:v>
      </x:c>
      <x:c r="G7" s="227" t="str">
        <x:v>X2 kategori risiko tinggi</x:v>
      </x:c>
      <x:c r="H7" s="227" t="str">
        <x:v>Publik</x:v>
      </x:c>
      <x:c r="I7" s="227" t="str">
        <x:v>VERIFIED</x:v>
      </x:c>
      <x:c r="J7" s="227" t="str">
        <x:v>https://www.ilo.org/sites/default/files/wcmsp5/groups/public/%40ed_dialogue/%40act_emp/documents/publication/wcms_579554.pdf</x:v>
      </x:c>
      <x:c r="K7" s="236" t="n">
        <x:v>46223</x:v>
      </x:c>
      <x:c r="L7" s="227" t="str">
        <x:v>Appendix Table A.3</x:v>
      </x:c>
      <x:c r="M7" s="227" t="str"/>
      <x:c r="N7" s="228" t="str">
        <x:v>Angka Indonesia berbasis Sakernas Agustus 2010; tabel 6 sektor hanya referensi historis.</x:v>
      </x:c>
    </x:row>
    <x:row r="8">
      <x:c r="A8" s="226" t="str">
        <x:v>ILO_GEN25</x:v>
      </x:c>
      <x:c r="B8" s="227" t="str">
        <x:v>ILO</x:v>
      </x:c>
      <x:c r="C8" s="227" t="str">
        <x:v>Generative AI and Jobs: A Refined Global Index of Occupational Exposure</x:v>
      </x:c>
      <x:c r="D8" s="281" t="n">
        <x:v>2025</x:v>
      </x:c>
      <x:c r="E8" s="281" t="n">
        <x:v>2025</x:v>
      </x:c>
      <x:c r="F8" s="227" t="str">
        <x:v>Working paper</x:v>
      </x:c>
      <x:c r="G8" s="227" t="str">
        <x:v>Lookup paparan GenAI ISCO-08 4-digit</x:v>
      </x:c>
      <x:c r="H8" s="227" t="str">
        <x:v>Publik</x:v>
      </x:c>
      <x:c r="I8" s="227" t="str">
        <x:v>VERIFIED</x:v>
      </x:c>
      <x:c r="J8" s="227" t="str">
        <x:v>https://www.ilo.org/publications/generative-ai-and-jobs-refined-global-index-occupational-exposure</x:v>
      </x:c>
      <x:c r="K8" s="236" t="n">
        <x:v>46223</x:v>
      </x:c>
      <x:c r="L8" s="227" t="str">
        <x:v>WP 140</x:v>
      </x:c>
      <x:c r="M8" s="227" t="str"/>
      <x:c r="N8" s="228" t="str">
        <x:v>Bekukan pemetaan kategori ke skor 0–5 dan dokumentasikan sebagai skala ordinal.</x:v>
      </x:c>
    </x:row>
    <x:row r="9">
      <x:c r="A9" s="226" t="str">
        <x:v>ILO_SCORE25</x:v>
      </x:c>
      <x:c r="B9" s="227" t="str">
        <x:v>ILO</x:v>
      </x:c>
      <x:c r="C9" s="227" t="str">
        <x:v>WP140 Annex Table A1 — ISCO-08 occupations by exposure gradient</x:v>
      </x:c>
      <x:c r="D9" s="281" t="n">
        <x:v>2025</x:v>
      </x:c>
      <x:c r="E9" s="281" t="n">
        <x:v>2025</x:v>
      </x:c>
      <x:c r="F9" s="227" t="str">
        <x:v>Official online annex</x:v>
      </x:c>
      <x:c r="G9" s="227" t="str">
        <x:v>Lookup paparan GenAI ISCO-08 4-digit</x:v>
      </x:c>
      <x:c r="H9" s="227" t="str">
        <x:v>Publik</x:v>
      </x:c>
      <x:c r="I9" s="227" t="str">
        <x:v>VERIFIED</x:v>
      </x:c>
      <x:c r="J9" s="227" t="str">
        <x:v>https://webapps.ilo.org/static/english/intserv/working-papers/wp140/index.html</x:v>
      </x:c>
      <x:c r="K9" s="236" t="n">
        <x:v>46223</x:v>
      </x:c>
      <x:c r="L9" s="227" t="str">
        <x:v>Annex 1, Table A1</x:v>
      </x:c>
      <x:c r="M9" s="227" t="str"/>
      <x:c r="N9" s="228" t="str">
        <x:v>427 baris pekerjaan berisi kategori, mean, dan SD. Pemetaan ordinal kategori ke skor 0–5 masih keputusan draft tim.</x:v>
      </x:c>
    </x:row>
    <x:row r="10">
      <x:c r="A10" s="226" t="str">
        <x:v>ILO_ASEAN26</x:v>
      </x:c>
      <x:c r="B10" s="227" t="str">
        <x:v>ILO</x:v>
      </x:c>
      <x:c r="C10" s="227" t="str">
        <x:v>Generative AI and labour markets in ASEAN</x:v>
      </x:c>
      <x:c r="D10" s="281" t="n">
        <x:v>2026</x:v>
      </x:c>
      <x:c r="E10" s="281" t="n">
        <x:v>2023</x:v>
      </x:c>
      <x:c r="F10" s="227" t="str">
        <x:v>Regional brief</x:v>
      </x:c>
      <x:c r="G10" s="227" t="str">
        <x:v>Konteks ASEAN dan validasi</x:v>
      </x:c>
      <x:c r="H10" s="227" t="str">
        <x:v>Publik</x:v>
      </x:c>
      <x:c r="I10" s="227" t="str">
        <x:v>VERIFIED</x:v>
      </x:c>
      <x:c r="J10" s="227" t="str">
        <x:v>https://www.ilo.org/publications/generative-ai-and-labour-markets-asean-significant-exposure-limited</x:v>
      </x:c>
      <x:c r="K10" s="236" t="n">
        <x:v>46223</x:v>
      </x:c>
      <x:c r="L10" s="227" t="str">
        <x:v>Brief + annex</x:v>
      </x:c>
      <x:c r="M10" s="227" t="str"/>
      <x:c r="N10" s="228" t="str">
        <x:v>Angka nasional tidak boleh dipakai sebagai skor sektor.</x:v>
      </x:c>
    </x:row>
    <x:row r="11">
      <x:c r="A11" s="226" t="str">
        <x:v>KEM_PROGLAT</x:v>
      </x:c>
      <x:c r="B11" s="227" t="str">
        <x:v>Kemnaker</x:v>
      </x:c>
      <x:c r="C11" s="227" t="str">
        <x:v>Program Pelatihan</x:v>
      </x:c>
      <x:c r="D11" s="281" t="n">
        <x:v>2026</x:v>
      </x:c>
      <x:c r="E11" s="281" t="n">
        <x:v>2026</x:v>
      </x:c>
      <x:c r="F11" s="227" t="str">
        <x:v>Web portal</x:v>
      </x:c>
      <x:c r="G11" s="227" t="str">
        <x:v>Readiness R1 opsional</x:v>
      </x:c>
      <x:c r="H11" s="227" t="str">
        <x:v>Publik</x:v>
      </x:c>
      <x:c r="I11" s="227" t="str">
        <x:v>PENDING_GRANULARITY</x:v>
      </x:c>
      <x:c r="J11" s="227" t="str">
        <x:v>https://proglat.kemnaker.go.id/</x:v>
      </x:c>
      <x:c r="K11" s="236" t="n">
        <x:v>46223</x:v>
      </x:c>
      <x:c r="L11" s="227" t="str">
        <x:v>Portal</x:v>
      </x:c>
      <x:c r="M11" s="227" t="str"/>
      <x:c r="N11" s="228" t="str">
        <x:v>Belum terbukti tersedia menurut sektor dan denominator pekerja.</x:v>
      </x:c>
    </x:row>
    <x:row r="12">
      <x:c r="A12" s="226" t="str">
        <x:v>PRAK_STAT</x:v>
      </x:c>
      <x:c r="B12" s="227" t="str">
        <x:v>PMO Kartu Prakerja</x:v>
      </x:c>
      <x:c r="C12" s="227" t="str">
        <x:v>Statistik Prakerja</x:v>
      </x:c>
      <x:c r="D12" s="281" t="n">
        <x:v>2026</x:v>
      </x:c>
      <x:c r="E12" s="281" t="n">
        <x:v>2026</x:v>
      </x:c>
      <x:c r="F12" s="227" t="str">
        <x:v>Dashboard</x:v>
      </x:c>
      <x:c r="G12" s="227" t="str">
        <x:v>Readiness R1 opsional</x:v>
      </x:c>
      <x:c r="H12" s="227" t="str">
        <x:v>Publik</x:v>
      </x:c>
      <x:c r="I12" s="227" t="str">
        <x:v>PENDING_GRANULARITY</x:v>
      </x:c>
      <x:c r="J12" s="227" t="str">
        <x:v>https://statistik.prakerja.go.id/</x:v>
      </x:c>
      <x:c r="K12" s="236" t="n">
        <x:v>46223</x:v>
      </x:c>
      <x:c r="L12" s="227" t="str">
        <x:v>Dashboard</x:v>
      </x:c>
      <x:c r="M12" s="227" t="str"/>
      <x:c r="N12" s="228" t="str">
        <x:v>Jangan masukkan R1 ke IKOS; hanya kuadran opsional.</x:v>
      </x:c>
    </x:row>
    <x:row r="13">
      <x:c r="A13" s="229" t="str">
        <x:v>PRAK_DB</x:v>
      </x:c>
      <x:c r="B13" s="230" t="str">
        <x:v>PMO Kartu Prakerja</x:v>
      </x:c>
      <x:c r="C13" s="230" t="str">
        <x:v>Database Publik Prakerja</x:v>
      </x:c>
      <x:c r="D13" s="282" t="n">
        <x:v>2026</x:v>
      </x:c>
      <x:c r="E13" s="282" t="n">
        <x:v>2026</x:v>
      </x:c>
      <x:c r="F13" s="230" t="str">
        <x:v>Public database</x:v>
      </x:c>
      <x:c r="G13" s="230" t="str">
        <x:v>Readiness R1 opsional</x:v>
      </x:c>
      <x:c r="H13" s="230" t="str">
        <x:v>Registrasi</x:v>
      </x:c>
      <x:c r="I13" s="230" t="str">
        <x:v>RESTRICTED</x:v>
      </x:c>
      <x:c r="J13" s="230" t="str">
        <x:v>https://database-publik.prakerja.go.id/database/</x:v>
      </x:c>
      <x:c r="K13" s="283" t="n">
        <x:v>46223</x:v>
      </x:c>
      <x:c r="L13" s="230" t="str">
        <x:v>Syarat akses</x:v>
      </x:c>
      <x:c r="M13" s="230" t="str"/>
      <x:c r="N13" s="231" t="str">
        <x:v>Periksa syarat penggunaan dan anonimitas.</x:v>
      </x:c>
    </x:row>
  </x:sheetData>
  <x:conditionalFormatting sqref="I2:I200">
    <x:cfRule type="containsText" dxfId="15" priority="1" operator="containsText" text="BLOCKED"/>
    <x:cfRule type="containsText" dxfId="16" priority="2" operator="containsText" text="ERROR"/>
    <x:cfRule type="containsText" dxfId="17" priority="3" operator="containsText" text="READY"/>
    <x:cfRule type="containsText" dxfId="18" priority="4" operator="containsText" text="VERIFIED"/>
    <x:cfRule type="containsText" dxfId="19" priority="5" operator="containsText" text="PENDING"/>
  </x:conditionalFormatting>
  <x:dataValidations count="1">
    <x:dataValidation type="list" sqref="I2:I200">
      <x:formula1>"VERIFIED,VERIFIED_FOR_X1,PENDING,PENDING_GRANULARITY,PENDING_EXTRACTION,RESTRICTED,MISSING,REJECTED"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055fae74984f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8" hidden="0" customWidth="1"/>
    <x:col min="5" max="5" width="14" hidden="0" customWidth="1"/>
    <x:col min="6" max="6" width="21" hidden="0" customWidth="1"/>
    <x:col min="7" max="7" width="14" hidden="0" customWidth="1"/>
    <x:col min="8" max="8" width="12" hidden="0" customWidth="1"/>
    <x:col min="9" max="9" width="17" hidden="0" customWidth="1"/>
    <x:col min="10" max="10" width="24" hidden="0" customWidth="1"/>
    <x:col min="11" max="11" width="32" hidden="0" customWidth="1"/>
    <x:col min="12" max="12" width="46" hidden="0" customWidth="1"/>
  </x:cols>
  <x:sheetData>
    <x:row r="1" ht="34" customHeight="1">
      <x:c r="A1" s="220" t="str">
        <x:v>tier</x:v>
      </x:c>
      <x:c r="B1" s="221" t="str">
        <x:v>sector_id</x:v>
      </x:c>
      <x:c r="C1" s="221" t="str">
        <x:v>sector_name</x:v>
      </x:c>
      <x:c r="D1" s="221" t="str">
        <x:v>fallback_sector_id</x:v>
      </x:c>
      <x:c r="E1" s="221" t="str">
        <x:v>active_status</x:v>
      </x:c>
      <x:c r="F1" s="221" t="str">
        <x:v>required_kbli_level</x:v>
      </x:c>
      <x:c r="G1" s="221" t="str">
        <x:v>manufacturing_priority_flag</x:v>
      </x:c>
      <x:c r="H1" s="221" t="str">
        <x:v>residual_flag</x:v>
      </x:c>
      <x:c r="I1" s="221" t="str">
        <x:v>evidence_status</x:v>
      </x:c>
      <x:c r="J1" s="221" t="str">
        <x:v>mapping_status</x:v>
      </x:c>
      <x:c r="K1" s="221" t="str">
        <x:v>exact_kbli_codes</x:v>
      </x:c>
      <x:c r="L1" s="222" t="str">
        <x:v>notes</x:v>
      </x:c>
    </x:row>
    <x:row r="2">
      <x:c r="A2" s="223" t="str">
        <x:v>Tier A</x:v>
      </x:c>
      <x:c r="B2" s="224" t="str">
        <x:v>S1</x:v>
      </x:c>
      <x:c r="C2" s="224" t="str">
        <x:v>Industri Makanan dan Minuman</x:v>
      </x:c>
      <x:c r="D2" s="224" t="str">
        <x:v>B1</x:v>
      </x:c>
      <x:c r="E2" s="284" t="str">
        <x:f>IF(A2='00_README'!$B$13,"ACTIVE","INACTIVE")</x:f>
        <x:v>INACTIVE</x:v>
      </x:c>
      <x:c r="F2" s="224" t="str">
        <x:v>KBLI 2-digit</x:v>
      </x:c>
      <x:c r="G2" s="224" t="n">
        <x:v>1</x:v>
      </x:c>
      <x:c r="H2" s="224" t="n">
        <x:v>0</x:v>
      </x:c>
      <x:c r="I2" s="224" t="str">
        <x:v>UNKNOWN</x:v>
      </x:c>
      <x:c r="J2" s="224" t="str">
        <x:v>PENDING</x:v>
      </x:c>
      <x:c r="K2" s="285" t="str"/>
      <x:c r="L2" s="225" t="str">
        <x:v>Manufaktur prioritas.</x:v>
      </x:c>
    </x:row>
    <x:row r="3">
      <x:c r="A3" s="226" t="str">
        <x:v>Tier A</x:v>
      </x:c>
      <x:c r="B3" s="227" t="str">
        <x:v>S2</x:v>
      </x:c>
      <x:c r="C3" s="227" t="str">
        <x:v>Industri Tekstil dan Pakaian</x:v>
      </x:c>
      <x:c r="D3" s="227" t="str">
        <x:v>B1</x:v>
      </x:c>
      <x:c r="E3" s="233" t="str">
        <x:f>IF(A3='00_README'!$B$13,"ACTIVE","INACTIVE")</x:f>
        <x:v>INACTIVE</x:v>
      </x:c>
      <x:c r="F3" s="227" t="str">
        <x:v>KBLI 2-digit</x:v>
      </x:c>
      <x:c r="G3" s="227" t="n">
        <x:v>1</x:v>
      </x:c>
      <x:c r="H3" s="227" t="n">
        <x:v>0</x:v>
      </x:c>
      <x:c r="I3" s="227" t="str">
        <x:v>UNKNOWN</x:v>
      </x:c>
      <x:c r="J3" s="227" t="str">
        <x:v>PENDING</x:v>
      </x:c>
      <x:c r="K3" s="235" t="str"/>
      <x:c r="L3" s="228" t="str">
        <x:v>Manufaktur prioritas.</x:v>
      </x:c>
    </x:row>
    <x:row r="4">
      <x:c r="A4" s="226" t="str">
        <x:v>Tier A</x:v>
      </x:c>
      <x:c r="B4" s="227" t="str">
        <x:v>S3</x:v>
      </x:c>
      <x:c r="C4" s="227" t="str">
        <x:v>Industri Otomotif</x:v>
      </x:c>
      <x:c r="D4" s="227" t="str">
        <x:v>B1</x:v>
      </x:c>
      <x:c r="E4" s="233" t="str">
        <x:f>IF(A4='00_README'!$B$13,"ACTIVE","INACTIVE")</x:f>
        <x:v>INACTIVE</x:v>
      </x:c>
      <x:c r="F4" s="227" t="str">
        <x:v>KBLI 2-digit</x:v>
      </x:c>
      <x:c r="G4" s="227" t="n">
        <x:v>1</x:v>
      </x:c>
      <x:c r="H4" s="227" t="n">
        <x:v>0</x:v>
      </x:c>
      <x:c r="I4" s="227" t="str">
        <x:v>UNKNOWN</x:v>
      </x:c>
      <x:c r="J4" s="227" t="str">
        <x:v>PENDING</x:v>
      </x:c>
      <x:c r="K4" s="235" t="str"/>
      <x:c r="L4" s="228" t="str">
        <x:v>Manufaktur prioritas.</x:v>
      </x:c>
    </x:row>
    <x:row r="5">
      <x:c r="A5" s="226" t="str">
        <x:v>Tier A</x:v>
      </x:c>
      <x:c r="B5" s="227" t="str">
        <x:v>S4</x:v>
      </x:c>
      <x:c r="C5" s="227" t="str">
        <x:v>Industri Kimia dan Farmasi/Alat Kesehatan</x:v>
      </x:c>
      <x:c r="D5" s="227" t="str">
        <x:v>B1</x:v>
      </x:c>
      <x:c r="E5" s="233" t="str">
        <x:f>IF(A5='00_README'!$B$13,"ACTIVE","INACTIVE")</x:f>
        <x:v>INACTIVE</x:v>
      </x:c>
      <x:c r="F5" s="227" t="str">
        <x:v>KBLI 2-digit</x:v>
      </x:c>
      <x:c r="G5" s="227" t="n">
        <x:v>1</x:v>
      </x:c>
      <x:c r="H5" s="227" t="n">
        <x:v>0</x:v>
      </x:c>
      <x:c r="I5" s="227" t="str">
        <x:v>UNKNOWN</x:v>
      </x:c>
      <x:c r="J5" s="227" t="str">
        <x:v>PENDING</x:v>
      </x:c>
      <x:c r="K5" s="235" t="str"/>
      <x:c r="L5" s="228" t="str">
        <x:v>Cakupan tepat perlu dikunci agar tidak tumpang tindih.</x:v>
      </x:c>
    </x:row>
    <x:row r="6">
      <x:c r="A6" s="226" t="str">
        <x:v>Tier A</x:v>
      </x:c>
      <x:c r="B6" s="227" t="str">
        <x:v>S5</x:v>
      </x:c>
      <x:c r="C6" s="227" t="str">
        <x:v>Industri Elektronik</x:v>
      </x:c>
      <x:c r="D6" s="227" t="str">
        <x:v>B1</x:v>
      </x:c>
      <x:c r="E6" s="233" t="str">
        <x:f>IF(A6='00_README'!$B$13,"ACTIVE","INACTIVE")</x:f>
        <x:v>INACTIVE</x:v>
      </x:c>
      <x:c r="F6" s="227" t="str">
        <x:v>KBLI 2-digit</x:v>
      </x:c>
      <x:c r="G6" s="227" t="n">
        <x:v>1</x:v>
      </x:c>
      <x:c r="H6" s="227" t="n">
        <x:v>0</x:v>
      </x:c>
      <x:c r="I6" s="227" t="str">
        <x:v>UNKNOWN</x:v>
      </x:c>
      <x:c r="J6" s="227" t="str">
        <x:v>PENDING</x:v>
      </x:c>
      <x:c r="K6" s="235" t="str"/>
      <x:c r="L6" s="228" t="str">
        <x:v>Manufaktur prioritas.</x:v>
      </x:c>
    </x:row>
    <x:row r="7">
      <x:c r="A7" s="226" t="str">
        <x:v>Tier A</x:v>
      </x:c>
      <x:c r="B7" s="227" t="str">
        <x:v>S6</x:v>
      </x:c>
      <x:c r="C7" s="227" t="str">
        <x:v>Industri Pengolahan Lainnya</x:v>
      </x:c>
      <x:c r="D7" s="227" t="str">
        <x:v>B1</x:v>
      </x:c>
      <x:c r="E7" s="233" t="str">
        <x:f>IF(A7='00_README'!$B$13,"ACTIVE","INACTIVE")</x:f>
        <x:v>INACTIVE</x:v>
      </x:c>
      <x:c r="F7" s="227" t="str">
        <x:v>KBLI 2-digit</x:v>
      </x:c>
      <x:c r="G7" s="227" t="n">
        <x:v>0</x:v>
      </x:c>
      <x:c r="H7" s="227" t="n">
        <x:v>1</x:v>
      </x:c>
      <x:c r="I7" s="227" t="str">
        <x:v>UNKNOWN</x:v>
      </x:c>
      <x:c r="J7" s="227" t="str">
        <x:v>PENDING</x:v>
      </x:c>
      <x:c r="K7" s="235" t="str"/>
      <x:c r="L7" s="228" t="str">
        <x:v>Residual eksplisit; tidak boleh overlap S1–S5.</x:v>
      </x:c>
    </x:row>
    <x:row r="8">
      <x:c r="A8" s="226" t="str">
        <x:v>Tier A</x:v>
      </x:c>
      <x:c r="B8" s="227" t="str">
        <x:v>S7</x:v>
      </x:c>
      <x:c r="C8" s="227" t="str">
        <x:v>Pertanian, Kehutanan, dan Perikanan</x:v>
      </x:c>
      <x:c r="D8" s="227" t="str">
        <x:v>B2</x:v>
      </x:c>
      <x:c r="E8" s="233" t="str">
        <x:f>IF(A8='00_README'!$B$13,"ACTIVE","INACTIVE")</x:f>
        <x:v>INACTIVE</x:v>
      </x:c>
      <x:c r="F8" s="227" t="str">
        <x:v>KBLI 1-digit</x:v>
      </x:c>
      <x:c r="G8" s="227" t="n">
        <x:v>0</x:v>
      </x:c>
      <x:c r="H8" s="227" t="n">
        <x:v>0</x:v>
      </x:c>
      <x:c r="I8" s="227" t="str">
        <x:v>LIKELY</x:v>
      </x:c>
      <x:c r="J8" s="227" t="str">
        <x:v>PENDING</x:v>
      </x:c>
      <x:c r="K8" s="235" t="str"/>
      <x:c r="L8" s="228" t="str"/>
    </x:row>
    <x:row r="9">
      <x:c r="A9" s="226" t="str">
        <x:v>Tier A</x:v>
      </x:c>
      <x:c r="B9" s="227" t="str">
        <x:v>S8</x:v>
      </x:c>
      <x:c r="C9" s="227" t="str">
        <x:v>Perdagangan Besar dan Eceran</x:v>
      </x:c>
      <x:c r="D9" s="227" t="str">
        <x:v>B3</x:v>
      </x:c>
      <x:c r="E9" s="233" t="str">
        <x:f>IF(A9='00_README'!$B$13,"ACTIVE","INACTIVE")</x:f>
        <x:v>INACTIVE</x:v>
      </x:c>
      <x:c r="F9" s="227" t="str">
        <x:v>KBLI 1-digit</x:v>
      </x:c>
      <x:c r="G9" s="227" t="n">
        <x:v>0</x:v>
      </x:c>
      <x:c r="H9" s="227" t="n">
        <x:v>0</x:v>
      </x:c>
      <x:c r="I9" s="227" t="str">
        <x:v>LIKELY</x:v>
      </x:c>
      <x:c r="J9" s="227" t="str">
        <x:v>PENDING</x:v>
      </x:c>
      <x:c r="K9" s="235" t="str"/>
      <x:c r="L9" s="228" t="str"/>
    </x:row>
    <x:row r="10">
      <x:c r="A10" s="226" t="str">
        <x:v>Tier A</x:v>
      </x:c>
      <x:c r="B10" s="227" t="str">
        <x:v>S9</x:v>
      </x:c>
      <x:c r="C10" s="227" t="str">
        <x:v>Transportasi dan Pergudangan</x:v>
      </x:c>
      <x:c r="D10" s="227" t="str">
        <x:v>B4</x:v>
      </x:c>
      <x:c r="E10" s="233" t="str">
        <x:f>IF(A10='00_README'!$B$13,"ACTIVE","INACTIVE")</x:f>
        <x:v>INACTIVE</x:v>
      </x:c>
      <x:c r="F10" s="227" t="str">
        <x:v>KBLI 1-digit</x:v>
      </x:c>
      <x:c r="G10" s="227" t="n">
        <x:v>0</x:v>
      </x:c>
      <x:c r="H10" s="227" t="n">
        <x:v>0</x:v>
      </x:c>
      <x:c r="I10" s="227" t="str">
        <x:v>LIKELY</x:v>
      </x:c>
      <x:c r="J10" s="227" t="str">
        <x:v>PENDING</x:v>
      </x:c>
      <x:c r="K10" s="235" t="str"/>
      <x:c r="L10" s="228" t="str"/>
    </x:row>
    <x:row r="11">
      <x:c r="A11" s="226" t="str">
        <x:v>Tier A</x:v>
      </x:c>
      <x:c r="B11" s="227" t="str">
        <x:v>S10</x:v>
      </x:c>
      <x:c r="C11" s="227" t="str">
        <x:v>Penyediaan Akomodasi dan Makan Minum</x:v>
      </x:c>
      <x:c r="D11" s="227" t="str">
        <x:v>B5</x:v>
      </x:c>
      <x:c r="E11" s="233" t="str">
        <x:f>IF(A11='00_README'!$B$13,"ACTIVE","INACTIVE")</x:f>
        <x:v>INACTIVE</x:v>
      </x:c>
      <x:c r="F11" s="227" t="str">
        <x:v>KBLI 1-digit</x:v>
      </x:c>
      <x:c r="G11" s="227" t="n">
        <x:v>0</x:v>
      </x:c>
      <x:c r="H11" s="227" t="n">
        <x:v>0</x:v>
      </x:c>
      <x:c r="I11" s="227" t="str">
        <x:v>LIKELY</x:v>
      </x:c>
      <x:c r="J11" s="227" t="str">
        <x:v>PENDING</x:v>
      </x:c>
      <x:c r="K11" s="235" t="str"/>
      <x:c r="L11" s="228" t="str"/>
    </x:row>
    <x:row r="12">
      <x:c r="A12" s="226" t="str">
        <x:v>Tier A</x:v>
      </x:c>
      <x:c r="B12" s="227" t="str">
        <x:v>S11</x:v>
      </x:c>
      <x:c r="C12" s="227" t="str">
        <x:v>Aktivitas Jasa Lainnya</x:v>
      </x:c>
      <x:c r="D12" s="227" t="str">
        <x:v>B6</x:v>
      </x:c>
      <x:c r="E12" s="233" t="str">
        <x:f>IF(A12='00_README'!$B$13,"ACTIVE","INACTIVE")</x:f>
        <x:v>INACTIVE</x:v>
      </x:c>
      <x:c r="F12" s="227" t="str">
        <x:v>KBLI 1-digit</x:v>
      </x:c>
      <x:c r="G12" s="227" t="n">
        <x:v>0</x:v>
      </x:c>
      <x:c r="H12" s="227" t="n">
        <x:v>0</x:v>
      </x:c>
      <x:c r="I12" s="227" t="str">
        <x:v>LIKELY</x:v>
      </x:c>
      <x:c r="J12" s="227" t="str">
        <x:v>PENDING</x:v>
      </x:c>
      <x:c r="K12" s="235" t="str"/>
      <x:c r="L12" s="228" t="str"/>
    </x:row>
    <x:row r="13">
      <x:c r="A13" s="226" t="str">
        <x:v>Tier B</x:v>
      </x:c>
      <x:c r="B13" s="227" t="str">
        <x:v>B1</x:v>
      </x:c>
      <x:c r="C13" s="227" t="str">
        <x:v>Industri Pengolahan (Gabungan S1–S6)</x:v>
      </x:c>
      <x:c r="D13" s="227" t="str"/>
      <x:c r="E13" s="233" t="str">
        <x:f>IF(A13='00_README'!$B$13,"ACTIVE","INACTIVE")</x:f>
        <x:v>INACTIVE</x:v>
      </x:c>
      <x:c r="F13" s="227" t="str">
        <x:v>KBLI 1-digit</x:v>
      </x:c>
      <x:c r="G13" s="227" t="n">
        <x:v>1</x:v>
      </x:c>
      <x:c r="H13" s="227" t="n">
        <x:v>0</x:v>
      </x:c>
      <x:c r="I13" s="227" t="str">
        <x:v>LIKELY</x:v>
      </x:c>
      <x:c r="J13" s="227" t="str">
        <x:v>BLOCKED_SPEC_CONFLICT</x:v>
      </x:c>
      <x:c r="K13" s="235" t="str"/>
      <x:c r="L13" s="228" t="str">
        <x:v>Dokumen menyebut 7 sektor, tetapi enumerasi menghasilkan 6.</x:v>
      </x:c>
    </x:row>
    <x:row r="14">
      <x:c r="A14" s="226" t="str">
        <x:v>Tier B</x:v>
      </x:c>
      <x:c r="B14" s="227" t="str">
        <x:v>B2</x:v>
      </x:c>
      <x:c r="C14" s="227" t="str">
        <x:v>Pertanian, Kehutanan, dan Perikanan</x:v>
      </x:c>
      <x:c r="D14" s="227" t="str"/>
      <x:c r="E14" s="233" t="str">
        <x:f>IF(A14='00_README'!$B$13,"ACTIVE","INACTIVE")</x:f>
        <x:v>INACTIVE</x:v>
      </x:c>
      <x:c r="F14" s="227" t="str">
        <x:v>KBLI 1-digit</x:v>
      </x:c>
      <x:c r="G14" s="227" t="n">
        <x:v>0</x:v>
      </x:c>
      <x:c r="H14" s="227" t="n">
        <x:v>0</x:v>
      </x:c>
      <x:c r="I14" s="227" t="str">
        <x:v>LIKELY</x:v>
      </x:c>
      <x:c r="J14" s="227" t="str">
        <x:v>PENDING</x:v>
      </x:c>
      <x:c r="K14" s="235" t="str"/>
      <x:c r="L14" s="228" t="str"/>
    </x:row>
    <x:row r="15">
      <x:c r="A15" s="226" t="str">
        <x:v>Tier B</x:v>
      </x:c>
      <x:c r="B15" s="227" t="str">
        <x:v>B3</x:v>
      </x:c>
      <x:c r="C15" s="227" t="str">
        <x:v>Perdagangan Besar dan Eceran</x:v>
      </x:c>
      <x:c r="D15" s="227" t="str"/>
      <x:c r="E15" s="233" t="str">
        <x:f>IF(A15='00_README'!$B$13,"ACTIVE","INACTIVE")</x:f>
        <x:v>INACTIVE</x:v>
      </x:c>
      <x:c r="F15" s="227" t="str">
        <x:v>KBLI 1-digit</x:v>
      </x:c>
      <x:c r="G15" s="227" t="n">
        <x:v>0</x:v>
      </x:c>
      <x:c r="H15" s="227" t="n">
        <x:v>0</x:v>
      </x:c>
      <x:c r="I15" s="227" t="str">
        <x:v>LIKELY</x:v>
      </x:c>
      <x:c r="J15" s="227" t="str">
        <x:v>PENDING</x:v>
      </x:c>
      <x:c r="K15" s="235" t="str"/>
      <x:c r="L15" s="228" t="str"/>
    </x:row>
    <x:row r="16">
      <x:c r="A16" s="226" t="str">
        <x:v>Tier B</x:v>
      </x:c>
      <x:c r="B16" s="227" t="str">
        <x:v>B4</x:v>
      </x:c>
      <x:c r="C16" s="227" t="str">
        <x:v>Transportasi dan Pergudangan</x:v>
      </x:c>
      <x:c r="D16" s="227" t="str"/>
      <x:c r="E16" s="233" t="str">
        <x:f>IF(A16='00_README'!$B$13,"ACTIVE","INACTIVE")</x:f>
        <x:v>INACTIVE</x:v>
      </x:c>
      <x:c r="F16" s="227" t="str">
        <x:v>KBLI 1-digit</x:v>
      </x:c>
      <x:c r="G16" s="227" t="n">
        <x:v>0</x:v>
      </x:c>
      <x:c r="H16" s="227" t="n">
        <x:v>0</x:v>
      </x:c>
      <x:c r="I16" s="227" t="str">
        <x:v>LIKELY</x:v>
      </x:c>
      <x:c r="J16" s="227" t="str">
        <x:v>PENDING</x:v>
      </x:c>
      <x:c r="K16" s="235" t="str"/>
      <x:c r="L16" s="228" t="str"/>
    </x:row>
    <x:row r="17">
      <x:c r="A17" s="226" t="str">
        <x:v>Tier B</x:v>
      </x:c>
      <x:c r="B17" s="227" t="str">
        <x:v>B5</x:v>
      </x:c>
      <x:c r="C17" s="227" t="str">
        <x:v>Penyediaan Akomodasi dan Makan Minum</x:v>
      </x:c>
      <x:c r="D17" s="227" t="str"/>
      <x:c r="E17" s="233" t="str">
        <x:f>IF(A17='00_README'!$B$13,"ACTIVE","INACTIVE")</x:f>
        <x:v>INACTIVE</x:v>
      </x:c>
      <x:c r="F17" s="227" t="str">
        <x:v>KBLI 1-digit</x:v>
      </x:c>
      <x:c r="G17" s="227" t="n">
        <x:v>0</x:v>
      </x:c>
      <x:c r="H17" s="227" t="n">
        <x:v>0</x:v>
      </x:c>
      <x:c r="I17" s="227" t="str">
        <x:v>LIKELY</x:v>
      </x:c>
      <x:c r="J17" s="227" t="str">
        <x:v>PENDING</x:v>
      </x:c>
      <x:c r="K17" s="235" t="str"/>
      <x:c r="L17" s="228" t="str"/>
    </x:row>
    <x:row r="18">
      <x:c r="A18" s="229" t="str">
        <x:v>Tier B</x:v>
      </x:c>
      <x:c r="B18" s="230" t="str">
        <x:v>B6</x:v>
      </x:c>
      <x:c r="C18" s="230" t="str">
        <x:v>Aktivitas Jasa Lainnya</x:v>
      </x:c>
      <x:c r="D18" s="230" t="str"/>
      <x:c r="E18" s="286" t="str">
        <x:f>IF(A18='00_README'!$B$13,"ACTIVE","INACTIVE")</x:f>
        <x:v>INACTIVE</x:v>
      </x:c>
      <x:c r="F18" s="230" t="str">
        <x:v>KBLI 1-digit</x:v>
      </x:c>
      <x:c r="G18" s="230" t="n">
        <x:v>0</x:v>
      </x:c>
      <x:c r="H18" s="230" t="n">
        <x:v>0</x:v>
      </x:c>
      <x:c r="I18" s="230" t="str">
        <x:v>LIKELY</x:v>
      </x:c>
      <x:c r="J18" s="230" t="str">
        <x:v>PENDING</x:v>
      </x:c>
      <x:c r="K18" s="287" t="str"/>
      <x:c r="L18" s="231" t="str"/>
    </x:row>
  </x:sheetData>
  <x:conditionalFormatting sqref="E2:J18">
    <x:cfRule type="containsText" dxfId="20" priority="1" operator="containsText" text="BLOCKED"/>
    <x:cfRule type="containsText" dxfId="21" priority="2" operator="containsText" text="ERROR"/>
    <x:cfRule type="containsText" dxfId="22" priority="3" operator="containsText" text="READY"/>
    <x:cfRule type="containsText" dxfId="23" priority="4" operator="containsText" text="VERIFIED"/>
    <x:cfRule type="containsText" dxfId="24" priority="5" operator="containsText" text="PENDING"/>
  </x:conditionalFormatting>
  <x:dataValidations count="1">
    <x:dataValidation type="list" sqref="I2:J18">
      <x:formula1>"VERIFIED,LIKELY,UNKNOWN,PENDING,BLOCKED_SPEC_CONFLICT"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f4f206296140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35" hidden="0" customWidth="1"/>
    <x:col min="4" max="4" width="12" hidden="0" customWidth="1"/>
    <x:col min="5" max="5" width="40" hidden="0" customWidth="1"/>
    <x:col min="6" max="6" width="18" hidden="0" customWidth="1"/>
    <x:col min="7" max="7" width="15" hidden="0" customWidth="1"/>
    <x:col min="8" max="8" width="23" hidden="0" customWidth="1"/>
    <x:col min="9" max="9" width="14" hidden="0" customWidth="1"/>
    <x:col min="10" max="10" width="18" hidden="0" customWidth="1"/>
    <x:col min="11" max="11" width="25" hidden="0" customWidth="1"/>
    <x:col min="12" max="12" width="14" hidden="0" customWidth="1"/>
    <x:col min="13" max="13" width="12" hidden="0" customWidth="1"/>
    <x:col min="14" max="14" width="16" hidden="0" customWidth="1"/>
    <x:col min="15" max="15" width="24" hidden="0" customWidth="1"/>
    <x:col min="16" max="16" width="21" hidden="0" customWidth="1"/>
    <x:col min="17" max="17" width="21" hidden="0" customWidth="1"/>
    <x:col min="18" max="18" width="18" hidden="0" customWidth="1"/>
    <x:col min="19" max="19" width="18" hidden="0" customWidth="1"/>
    <x:col min="20" max="20" width="25" hidden="0" customWidth="1"/>
    <x:col min="21" max="21" width="19" hidden="0" customWidth="1"/>
    <x:col min="22" max="22" width="16" hidden="0" customWidth="1"/>
    <x:col min="23" max="23" width="48" hidden="0" customWidth="1"/>
  </x:cols>
  <x:sheetData>
    <x:row r="1" ht="34" customHeight="1">
      <x:c r="A1" s="220" t="str">
        <x:v>kbji_vintage</x:v>
      </x:c>
      <x:c r="B1" s="221" t="str">
        <x:v>kbji4</x:v>
      </x:c>
      <x:c r="C1" s="221" t="str">
        <x:v>kbji_title</x:v>
      </x:c>
      <x:c r="D1" s="221" t="str">
        <x:v>isco08_4</x:v>
      </x:c>
      <x:c r="E1" s="221" t="str">
        <x:v>isco_title</x:v>
      </x:c>
      <x:c r="F1" s="221" t="str">
        <x:v>mapping_type</x:v>
      </x:c>
      <x:c r="G1" s="221" t="str">
        <x:v>allocation_share</x:v>
      </x:c>
      <x:c r="H1" s="221" t="str">
        <x:v>ilo2016_risk_category</x:v>
      </x:c>
      <x:c r="I1" s="221" t="str">
        <x:v>risk_high_flag</x:v>
      </x:c>
      <x:c r="J1" s="221" t="str">
        <x:v>ilo2016_status</x:v>
      </x:c>
      <x:c r="K1" s="221" t="str">
        <x:v>ilo2025_genai_category</x:v>
      </x:c>
      <x:c r="L1" s="221" t="str">
        <x:v>ilo2025_mean</x:v>
      </x:c>
      <x:c r="M1" s="221" t="str">
        <x:v>ilo2025_sd</x:v>
      </x:c>
      <x:c r="N1" s="221" t="str">
        <x:v>genai_score_0_5</x:v>
      </x:c>
      <x:c r="O1" s="221" t="str">
        <x:v>score_mapping_status</x:v>
      </x:c>
      <x:c r="P1" s="221" t="str">
        <x:v>ilo2025_source_status</x:v>
      </x:c>
      <x:c r="Q1" s="221" t="str">
        <x:v>source_id_kbji_isco</x:v>
      </x:c>
      <x:c r="R1" s="221" t="str">
        <x:v>source_id_risk</x:v>
      </x:c>
      <x:c r="S1" s="221" t="str">
        <x:v>source_id_genai</x:v>
      </x:c>
      <x:c r="T1" s="221" t="str">
        <x:v>evidence_page_table</x:v>
      </x:c>
      <x:c r="U1" s="221" t="str">
        <x:v>kbji_isco_status</x:v>
      </x:c>
      <x:c r="V1" s="221" t="str">
        <x:v>reviewer</x:v>
      </x:c>
      <x:c r="W1" s="222" t="str">
        <x:v>notes</x:v>
      </x:c>
    </x:row>
    <x:row r="2">
      <x:c r="A2" s="288" t="str"/>
      <x:c r="B2" s="289" t="str"/>
      <x:c r="C2" s="285" t="str"/>
      <x:c r="D2" s="290" t="str">
        <x:v>4132</x:v>
      </x:c>
      <x:c r="E2" s="284" t="str">
        <x:v>Data Entry Clerks</x:v>
      </x:c>
      <x:c r="F2" s="284" t="str">
        <x:v>UNRESOLVED</x:v>
      </x:c>
      <x:c r="G2" s="284"/>
      <x:c r="H2" s="284" t="str"/>
      <x:c r="I2" s="284"/>
      <x:c r="J2" s="284" t="str">
        <x:v>PENDING</x:v>
      </x:c>
      <x:c r="K2" s="284" t="str">
        <x:v>Gradient 4</x:v>
      </x:c>
      <x:c r="L2" s="291" t="n">
        <x:v>0.7</x:v>
      </x:c>
      <x:c r="M2" s="291" t="n">
        <x:v>0.03</x:v>
      </x:c>
      <x:c r="N2" s="284" t="n">
        <x:v>5</x:v>
      </x:c>
      <x:c r="O2" s="284" t="str">
        <x:v>DRAFT_ORDINAL_MAPPING</x:v>
      </x:c>
      <x:c r="P2" s="284" t="str">
        <x:v>VERIFIED</x:v>
      </x:c>
      <x:c r="Q2" s="285" t="str"/>
      <x:c r="R2" s="285" t="str"/>
      <x:c r="S2" s="284" t="str">
        <x:v>ILO_SCORE25</x:v>
      </x:c>
      <x:c r="T2" s="284" t="str">
        <x:v>WP140 online Annex, Table A1</x:v>
      </x:c>
      <x:c r="U2" s="285" t="str">
        <x:v>PENDING</x:v>
      </x:c>
      <x:c r="V2" s="285" t="str">
        <x:v>Codex</x:v>
      </x:c>
      <x:c r="W2" s="292" t="str">
        <x:v>KBJI–ISCO belum dipetakan; skor 0–5 adalah transformasi ordinal draft.</x:v>
      </x:c>
    </x:row>
    <x:row r="3">
      <x:c r="A3" s="293" t="str"/>
      <x:c r="B3" s="294" t="str"/>
      <x:c r="C3" s="235" t="str"/>
      <x:c r="D3" s="295" t="str">
        <x:v>4131</x:v>
      </x:c>
      <x:c r="E3" s="233" t="str">
        <x:v>Typists and Word Processing Operators</x:v>
      </x:c>
      <x:c r="F3" s="233" t="str">
        <x:v>UNRESOLVED</x:v>
      </x:c>
      <x:c r="G3" s="233"/>
      <x:c r="H3" s="233" t="str"/>
      <x:c r="I3" s="233"/>
      <x:c r="J3" s="233" t="str">
        <x:v>PENDING</x:v>
      </x:c>
      <x:c r="K3" s="233" t="str">
        <x:v>Gradient 4</x:v>
      </x:c>
      <x:c r="L3" s="296" t="n">
        <x:v>0.65</x:v>
      </x:c>
      <x:c r="M3" s="296" t="n">
        <x:v>0.05</x:v>
      </x:c>
      <x:c r="N3" s="233" t="n">
        <x:v>5</x:v>
      </x:c>
      <x:c r="O3" s="233" t="str">
        <x:v>DRAFT_ORDINAL_MAPPING</x:v>
      </x:c>
      <x:c r="P3" s="233" t="str">
        <x:v>VERIFIED</x:v>
      </x:c>
      <x:c r="Q3" s="235" t="str"/>
      <x:c r="R3" s="235" t="str"/>
      <x:c r="S3" s="233" t="str">
        <x:v>ILO_SCORE25</x:v>
      </x:c>
      <x:c r="T3" s="233" t="str">
        <x:v>WP140 online Annex, Table A1</x:v>
      </x:c>
      <x:c r="U3" s="235" t="str">
        <x:v>PENDING</x:v>
      </x:c>
      <x:c r="V3" s="235" t="str">
        <x:v>Codex</x:v>
      </x:c>
      <x:c r="W3" s="297" t="str">
        <x:v>KBJI–ISCO belum dipetakan; skor 0–5 adalah transformasi ordinal draft.</x:v>
      </x:c>
    </x:row>
    <x:row r="4">
      <x:c r="A4" s="293" t="str"/>
      <x:c r="B4" s="294" t="str"/>
      <x:c r="C4" s="235" t="str"/>
      <x:c r="D4" s="295" t="str">
        <x:v>4311</x:v>
      </x:c>
      <x:c r="E4" s="233" t="str">
        <x:v>Accounting and Bookkeeping Clerks</x:v>
      </x:c>
      <x:c r="F4" s="233" t="str">
        <x:v>UNRESOLVED</x:v>
      </x:c>
      <x:c r="G4" s="233"/>
      <x:c r="H4" s="233" t="str"/>
      <x:c r="I4" s="233"/>
      <x:c r="J4" s="233" t="str">
        <x:v>PENDING</x:v>
      </x:c>
      <x:c r="K4" s="233" t="str">
        <x:v>Gradient 4</x:v>
      </x:c>
      <x:c r="L4" s="296" t="n">
        <x:v>0.64</x:v>
      </x:c>
      <x:c r="M4" s="296" t="n">
        <x:v>0.07</x:v>
      </x:c>
      <x:c r="N4" s="233" t="n">
        <x:v>5</x:v>
      </x:c>
      <x:c r="O4" s="233" t="str">
        <x:v>DRAFT_ORDINAL_MAPPING</x:v>
      </x:c>
      <x:c r="P4" s="233" t="str">
        <x:v>VERIFIED</x:v>
      </x:c>
      <x:c r="Q4" s="235" t="str"/>
      <x:c r="R4" s="235" t="str"/>
      <x:c r="S4" s="233" t="str">
        <x:v>ILO_SCORE25</x:v>
      </x:c>
      <x:c r="T4" s="233" t="str">
        <x:v>WP140 online Annex, Table A1</x:v>
      </x:c>
      <x:c r="U4" s="235" t="str">
        <x:v>PENDING</x:v>
      </x:c>
      <x:c r="V4" s="235" t="str">
        <x:v>Codex</x:v>
      </x:c>
      <x:c r="W4" s="297" t="str">
        <x:v>KBJI–ISCO belum dipetakan; skor 0–5 adalah transformasi ordinal draft.</x:v>
      </x:c>
    </x:row>
    <x:row r="5">
      <x:c r="A5" s="293" t="str"/>
      <x:c r="B5" s="294" t="str"/>
      <x:c r="C5" s="235" t="str"/>
      <x:c r="D5" s="295" t="str">
        <x:v>4312</x:v>
      </x:c>
      <x:c r="E5" s="233" t="str">
        <x:v>Statistical, Finance and Insurance Clerks</x:v>
      </x:c>
      <x:c r="F5" s="233" t="str">
        <x:v>UNRESOLVED</x:v>
      </x:c>
      <x:c r="G5" s="233"/>
      <x:c r="H5" s="233" t="str"/>
      <x:c r="I5" s="233"/>
      <x:c r="J5" s="233" t="str">
        <x:v>PENDING</x:v>
      </x:c>
      <x:c r="K5" s="233" t="str">
        <x:v>Gradient 4</x:v>
      </x:c>
      <x:c r="L5" s="296" t="n">
        <x:v>0.64</x:v>
      </x:c>
      <x:c r="M5" s="296" t="n">
        <x:v>0.02</x:v>
      </x:c>
      <x:c r="N5" s="233" t="n">
        <x:v>5</x:v>
      </x:c>
      <x:c r="O5" s="233" t="str">
        <x:v>DRAFT_ORDINAL_MAPPING</x:v>
      </x:c>
      <x:c r="P5" s="233" t="str">
        <x:v>VERIFIED</x:v>
      </x:c>
      <x:c r="Q5" s="235" t="str"/>
      <x:c r="R5" s="235" t="str"/>
      <x:c r="S5" s="233" t="str">
        <x:v>ILO_SCORE25</x:v>
      </x:c>
      <x:c r="T5" s="233" t="str">
        <x:v>WP140 online Annex, Table A1</x:v>
      </x:c>
      <x:c r="U5" s="235" t="str">
        <x:v>PENDING</x:v>
      </x:c>
      <x:c r="V5" s="235" t="str">
        <x:v>Codex</x:v>
      </x:c>
      <x:c r="W5" s="297" t="str">
        <x:v>KBJI–ISCO belum dipetakan; skor 0–5 adalah transformasi ordinal draft.</x:v>
      </x:c>
    </x:row>
    <x:row r="6">
      <x:c r="A6" s="293" t="str"/>
      <x:c r="B6" s="294" t="str"/>
      <x:c r="C6" s="235" t="str"/>
      <x:c r="D6" s="295" t="str">
        <x:v>3311</x:v>
      </x:c>
      <x:c r="E6" s="233" t="str">
        <x:v>Securities and Finance Dealers and Brokers</x:v>
      </x:c>
      <x:c r="F6" s="233" t="str">
        <x:v>UNRESOLVED</x:v>
      </x:c>
      <x:c r="G6" s="233"/>
      <x:c r="H6" s="233" t="str"/>
      <x:c r="I6" s="233"/>
      <x:c r="J6" s="233" t="str">
        <x:v>PENDING</x:v>
      </x:c>
      <x:c r="K6" s="233" t="str">
        <x:v>Gradient 4</x:v>
      </x:c>
      <x:c r="L6" s="296" t="n">
        <x:v>0.63</x:v>
      </x:c>
      <x:c r="M6" s="296" t="n">
        <x:v>0.04</x:v>
      </x:c>
      <x:c r="N6" s="233" t="n">
        <x:v>5</x:v>
      </x:c>
      <x:c r="O6" s="233" t="str">
        <x:v>DRAFT_ORDINAL_MAPPING</x:v>
      </x:c>
      <x:c r="P6" s="233" t="str">
        <x:v>VERIFIED</x:v>
      </x:c>
      <x:c r="Q6" s="235" t="str"/>
      <x:c r="R6" s="235" t="str"/>
      <x:c r="S6" s="233" t="str">
        <x:v>ILO_SCORE25</x:v>
      </x:c>
      <x:c r="T6" s="233" t="str">
        <x:v>WP140 online Annex, Table A1</x:v>
      </x:c>
      <x:c r="U6" s="235" t="str">
        <x:v>PENDING</x:v>
      </x:c>
      <x:c r="V6" s="235" t="str">
        <x:v>Codex</x:v>
      </x:c>
      <x:c r="W6" s="297" t="str">
        <x:v>KBJI–ISCO belum dipetakan; skor 0–5 adalah transformasi ordinal draft.</x:v>
      </x:c>
    </x:row>
    <x:row r="7">
      <x:c r="A7" s="293" t="str"/>
      <x:c r="B7" s="294" t="str"/>
      <x:c r="C7" s="235" t="str"/>
      <x:c r="D7" s="295" t="str">
        <x:v>4419</x:v>
      </x:c>
      <x:c r="E7" s="233" t="str">
        <x:v>Clerical Support Workers Not Elsewhere Classified</x:v>
      </x:c>
      <x:c r="F7" s="233" t="str">
        <x:v>UNRESOLVED</x:v>
      </x:c>
      <x:c r="G7" s="233"/>
      <x:c r="H7" s="233" t="str"/>
      <x:c r="I7" s="233"/>
      <x:c r="J7" s="233" t="str">
        <x:v>PENDING</x:v>
      </x:c>
      <x:c r="K7" s="233" t="str">
        <x:v>Gradient 4</x:v>
      </x:c>
      <x:c r="L7" s="296" t="n">
        <x:v>0.63</x:v>
      </x:c>
      <x:c r="M7" s="296" t="n">
        <x:v>0.03</x:v>
      </x:c>
      <x:c r="N7" s="233" t="n">
        <x:v>5</x:v>
      </x:c>
      <x:c r="O7" s="233" t="str">
        <x:v>DRAFT_ORDINAL_MAPPING</x:v>
      </x:c>
      <x:c r="P7" s="233" t="str">
        <x:v>VERIFIED</x:v>
      </x:c>
      <x:c r="Q7" s="235" t="str"/>
      <x:c r="R7" s="235" t="str"/>
      <x:c r="S7" s="233" t="str">
        <x:v>ILO_SCORE25</x:v>
      </x:c>
      <x:c r="T7" s="233" t="str">
        <x:v>WP140 online Annex, Table A1</x:v>
      </x:c>
      <x:c r="U7" s="235" t="str">
        <x:v>PENDING</x:v>
      </x:c>
      <x:c r="V7" s="235" t="str">
        <x:v>Codex</x:v>
      </x:c>
      <x:c r="W7" s="297" t="str">
        <x:v>KBJI–ISCO belum dipetakan; skor 0–5 adalah transformasi ordinal draft.</x:v>
      </x:c>
    </x:row>
    <x:row r="8">
      <x:c r="A8" s="293" t="str"/>
      <x:c r="B8" s="294" t="str"/>
      <x:c r="C8" s="235" t="str"/>
      <x:c r="D8" s="295" t="str">
        <x:v>2413</x:v>
      </x:c>
      <x:c r="E8" s="233" t="str">
        <x:v>Financial Analysts</x:v>
      </x:c>
      <x:c r="F8" s="233" t="str">
        <x:v>UNRESOLVED</x:v>
      </x:c>
      <x:c r="G8" s="233"/>
      <x:c r="H8" s="233" t="str"/>
      <x:c r="I8" s="233"/>
      <x:c r="J8" s="233" t="str">
        <x:v>PENDING</x:v>
      </x:c>
      <x:c r="K8" s="233" t="str">
        <x:v>Gradient 4</x:v>
      </x:c>
      <x:c r="L8" s="296" t="n">
        <x:v>0.62</x:v>
      </x:c>
      <x:c r="M8" s="296" t="n">
        <x:v>0.06</x:v>
      </x:c>
      <x:c r="N8" s="233" t="n">
        <x:v>5</x:v>
      </x:c>
      <x:c r="O8" s="233" t="str">
        <x:v>DRAFT_ORDINAL_MAPPING</x:v>
      </x:c>
      <x:c r="P8" s="233" t="str">
        <x:v>VERIFIED</x:v>
      </x:c>
      <x:c r="Q8" s="235" t="str"/>
      <x:c r="R8" s="235" t="str"/>
      <x:c r="S8" s="233" t="str">
        <x:v>ILO_SCORE25</x:v>
      </x:c>
      <x:c r="T8" s="233" t="str">
        <x:v>WP140 online Annex, Table A1</x:v>
      </x:c>
      <x:c r="U8" s="235" t="str">
        <x:v>PENDING</x:v>
      </x:c>
      <x:c r="V8" s="235" t="str">
        <x:v>Codex</x:v>
      </x:c>
      <x:c r="W8" s="297" t="str">
        <x:v>KBJI–ISCO belum dipetakan; skor 0–5 adalah transformasi ordinal draft.</x:v>
      </x:c>
    </x:row>
    <x:row r="9">
      <x:c r="A9" s="293" t="str"/>
      <x:c r="B9" s="294" t="str"/>
      <x:c r="C9" s="235" t="str"/>
      <x:c r="D9" s="295" t="str">
        <x:v>4313</x:v>
      </x:c>
      <x:c r="E9" s="233" t="str">
        <x:v>Payroll Clerks</x:v>
      </x:c>
      <x:c r="F9" s="233" t="str">
        <x:v>UNRESOLVED</x:v>
      </x:c>
      <x:c r="G9" s="233"/>
      <x:c r="H9" s="233" t="str"/>
      <x:c r="I9" s="233"/>
      <x:c r="J9" s="233" t="str">
        <x:v>PENDING</x:v>
      </x:c>
      <x:c r="K9" s="233" t="str">
        <x:v>Gradient 4</x:v>
      </x:c>
      <x:c r="L9" s="296" t="n">
        <x:v>0.61</x:v>
      </x:c>
      <x:c r="M9" s="296" t="n">
        <x:v>0.08</x:v>
      </x:c>
      <x:c r="N9" s="233" t="n">
        <x:v>5</x:v>
      </x:c>
      <x:c r="O9" s="233" t="str">
        <x:v>DRAFT_ORDINAL_MAPPING</x:v>
      </x:c>
      <x:c r="P9" s="233" t="str">
        <x:v>VERIFIED</x:v>
      </x:c>
      <x:c r="Q9" s="235" t="str"/>
      <x:c r="R9" s="235" t="str"/>
      <x:c r="S9" s="233" t="str">
        <x:v>ILO_SCORE25</x:v>
      </x:c>
      <x:c r="T9" s="233" t="str">
        <x:v>WP140 online Annex, Table A1</x:v>
      </x:c>
      <x:c r="U9" s="235" t="str">
        <x:v>PENDING</x:v>
      </x:c>
      <x:c r="V9" s="235" t="str">
        <x:v>Codex</x:v>
      </x:c>
      <x:c r="W9" s="297" t="str">
        <x:v>KBJI–ISCO belum dipetakan; skor 0–5 adalah transformasi ordinal draft.</x:v>
      </x:c>
    </x:row>
    <x:row r="10">
      <x:c r="A10" s="293" t="str"/>
      <x:c r="B10" s="294" t="str"/>
      <x:c r="C10" s="235" t="str"/>
      <x:c r="D10" s="295" t="str">
        <x:v>5244</x:v>
      </x:c>
      <x:c r="E10" s="233" t="str">
        <x:v>Contact Centre Salespersons</x:v>
      </x:c>
      <x:c r="F10" s="233" t="str">
        <x:v>UNRESOLVED</x:v>
      </x:c>
      <x:c r="G10" s="233"/>
      <x:c r="H10" s="233" t="str"/>
      <x:c r="I10" s="233"/>
      <x:c r="J10" s="233" t="str">
        <x:v>PENDING</x:v>
      </x:c>
      <x:c r="K10" s="233" t="str">
        <x:v>Gradient 4</x:v>
      </x:c>
      <x:c r="L10" s="296" t="n">
        <x:v>0.61</x:v>
      </x:c>
      <x:c r="M10" s="296" t="n">
        <x:v>0.1</x:v>
      </x:c>
      <x:c r="N10" s="233" t="n">
        <x:v>5</x:v>
      </x:c>
      <x:c r="O10" s="233" t="str">
        <x:v>DRAFT_ORDINAL_MAPPING</x:v>
      </x:c>
      <x:c r="P10" s="233" t="str">
        <x:v>VERIFIED</x:v>
      </x:c>
      <x:c r="Q10" s="235" t="str"/>
      <x:c r="R10" s="235" t="str"/>
      <x:c r="S10" s="233" t="str">
        <x:v>ILO_SCORE25</x:v>
      </x:c>
      <x:c r="T10" s="233" t="str">
        <x:v>WP140 online Annex, Table A1</x:v>
      </x:c>
      <x:c r="U10" s="235" t="str">
        <x:v>PENDING</x:v>
      </x:c>
      <x:c r="V10" s="235" t="str">
        <x:v>Codex</x:v>
      </x:c>
      <x:c r="W10" s="297" t="str">
        <x:v>KBJI–ISCO belum dipetakan; skor 0–5 adalah transformasi ordinal draft.</x:v>
      </x:c>
    </x:row>
    <x:row r="11">
      <x:c r="A11" s="293" t="str"/>
      <x:c r="B11" s="294" t="str"/>
      <x:c r="C11" s="235" t="str"/>
      <x:c r="D11" s="295" t="str">
        <x:v>2513</x:v>
      </x:c>
      <x:c r="E11" s="233" t="str">
        <x:v>Web and Multimedia Developers</x:v>
      </x:c>
      <x:c r="F11" s="233" t="str">
        <x:v>UNRESOLVED</x:v>
      </x:c>
      <x:c r="G11" s="233"/>
      <x:c r="H11" s="233" t="str"/>
      <x:c r="I11" s="233"/>
      <x:c r="J11" s="233" t="str">
        <x:v>PENDING</x:v>
      </x:c>
      <x:c r="K11" s="233" t="str">
        <x:v>Gradient 4</x:v>
      </x:c>
      <x:c r="L11" s="296" t="n">
        <x:v>0.6</x:v>
      </x:c>
      <x:c r="M11" s="296" t="n">
        <x:v>0.08</x:v>
      </x:c>
      <x:c r="N11" s="233" t="n">
        <x:v>5</x:v>
      </x:c>
      <x:c r="O11" s="233" t="str">
        <x:v>DRAFT_ORDINAL_MAPPING</x:v>
      </x:c>
      <x:c r="P11" s="233" t="str">
        <x:v>VERIFIED</x:v>
      </x:c>
      <x:c r="Q11" s="235" t="str"/>
      <x:c r="R11" s="235" t="str"/>
      <x:c r="S11" s="233" t="str">
        <x:v>ILO_SCORE25</x:v>
      </x:c>
      <x:c r="T11" s="233" t="str">
        <x:v>WP140 online Annex, Table A1</x:v>
      </x:c>
      <x:c r="U11" s="235" t="str">
        <x:v>PENDING</x:v>
      </x:c>
      <x:c r="V11" s="235" t="str">
        <x:v>Codex</x:v>
      </x:c>
      <x:c r="W11" s="297" t="str">
        <x:v>KBJI–ISCO belum dipetakan; skor 0–5 adalah transformasi ordinal draft.</x:v>
      </x:c>
    </x:row>
    <x:row r="12">
      <x:c r="A12" s="293" t="str"/>
      <x:c r="B12" s="294" t="str"/>
      <x:c r="C12" s="235" t="str"/>
      <x:c r="D12" s="295" t="str">
        <x:v>3312</x:v>
      </x:c>
      <x:c r="E12" s="233" t="str">
        <x:v>Credit and Loans Officers</x:v>
      </x:c>
      <x:c r="F12" s="233" t="str">
        <x:v>UNRESOLVED</x:v>
      </x:c>
      <x:c r="G12" s="233"/>
      <x:c r="H12" s="233" t="str"/>
      <x:c r="I12" s="233"/>
      <x:c r="J12" s="233" t="str">
        <x:v>PENDING</x:v>
      </x:c>
      <x:c r="K12" s="233" t="str">
        <x:v>Gradient 4</x:v>
      </x:c>
      <x:c r="L12" s="296" t="n">
        <x:v>0.6</x:v>
      </x:c>
      <x:c r="M12" s="296" t="n">
        <x:v>0.04</x:v>
      </x:c>
      <x:c r="N12" s="233" t="n">
        <x:v>5</x:v>
      </x:c>
      <x:c r="O12" s="233" t="str">
        <x:v>DRAFT_ORDINAL_MAPPING</x:v>
      </x:c>
      <x:c r="P12" s="233" t="str">
        <x:v>VERIFIED</x:v>
      </x:c>
      <x:c r="Q12" s="235" t="str"/>
      <x:c r="R12" s="235" t="str"/>
      <x:c r="S12" s="233" t="str">
        <x:v>ILO_SCORE25</x:v>
      </x:c>
      <x:c r="T12" s="233" t="str">
        <x:v>WP140 online Annex, Table A1</x:v>
      </x:c>
      <x:c r="U12" s="235" t="str">
        <x:v>PENDING</x:v>
      </x:c>
      <x:c r="V12" s="235" t="str">
        <x:v>Codex</x:v>
      </x:c>
      <x:c r="W12" s="297" t="str">
        <x:v>KBJI–ISCO belum dipetakan; skor 0–5 adalah transformasi ordinal draft.</x:v>
      </x:c>
    </x:row>
    <x:row r="13">
      <x:c r="A13" s="293" t="str"/>
      <x:c r="B13" s="294" t="str"/>
      <x:c r="C13" s="235" t="str"/>
      <x:c r="D13" s="295" t="str">
        <x:v>4110</x:v>
      </x:c>
      <x:c r="E13" s="233" t="str">
        <x:v>General Office Clerks</x:v>
      </x:c>
      <x:c r="F13" s="233" t="str">
        <x:v>UNRESOLVED</x:v>
      </x:c>
      <x:c r="G13" s="233"/>
      <x:c r="H13" s="233" t="str"/>
      <x:c r="I13" s="233"/>
      <x:c r="J13" s="233" t="str">
        <x:v>PENDING</x:v>
      </x:c>
      <x:c r="K13" s="233" t="str">
        <x:v>Gradient 4</x:v>
      </x:c>
      <x:c r="L13" s="296" t="n">
        <x:v>0.6</x:v>
      </x:c>
      <x:c r="M13" s="296" t="n">
        <x:v>0.1</x:v>
      </x:c>
      <x:c r="N13" s="233" t="n">
        <x:v>5</x:v>
      </x:c>
      <x:c r="O13" s="233" t="str">
        <x:v>DRAFT_ORDINAL_MAPPING</x:v>
      </x:c>
      <x:c r="P13" s="233" t="str">
        <x:v>VERIFIED</x:v>
      </x:c>
      <x:c r="Q13" s="235" t="str"/>
      <x:c r="R13" s="235" t="str"/>
      <x:c r="S13" s="233" t="str">
        <x:v>ILO_SCORE25</x:v>
      </x:c>
      <x:c r="T13" s="233" t="str">
        <x:v>WP140 online Annex, Table A1</x:v>
      </x:c>
      <x:c r="U13" s="235" t="str">
        <x:v>PENDING</x:v>
      </x:c>
      <x:c r="V13" s="235" t="str">
        <x:v>Codex</x:v>
      </x:c>
      <x:c r="W13" s="297" t="str">
        <x:v>KBJI–ISCO belum dipetakan; skor 0–5 adalah transformasi ordinal draft.</x:v>
      </x:c>
    </x:row>
    <x:row r="14">
      <x:c r="A14" s="293" t="str"/>
      <x:c r="B14" s="294" t="str"/>
      <x:c r="C14" s="235" t="str"/>
      <x:c r="D14" s="295" t="str">
        <x:v>4416</x:v>
      </x:c>
      <x:c r="E14" s="233" t="str">
        <x:v>Personnel Clerks</x:v>
      </x:c>
      <x:c r="F14" s="233" t="str">
        <x:v>UNRESOLVED</x:v>
      </x:c>
      <x:c r="G14" s="233"/>
      <x:c r="H14" s="233" t="str"/>
      <x:c r="I14" s="233"/>
      <x:c r="J14" s="233" t="str">
        <x:v>PENDING</x:v>
      </x:c>
      <x:c r="K14" s="233" t="str">
        <x:v>Gradient 4</x:v>
      </x:c>
      <x:c r="L14" s="296" t="n">
        <x:v>0.6</x:v>
      </x:c>
      <x:c r="M14" s="296" t="n">
        <x:v>0.09</x:v>
      </x:c>
      <x:c r="N14" s="233" t="n">
        <x:v>5</x:v>
      </x:c>
      <x:c r="O14" s="233" t="str">
        <x:v>DRAFT_ORDINAL_MAPPING</x:v>
      </x:c>
      <x:c r="P14" s="233" t="str">
        <x:v>VERIFIED</x:v>
      </x:c>
      <x:c r="Q14" s="235" t="str"/>
      <x:c r="R14" s="235" t="str"/>
      <x:c r="S14" s="233" t="str">
        <x:v>ILO_SCORE25</x:v>
      </x:c>
      <x:c r="T14" s="233" t="str">
        <x:v>WP140 online Annex, Table A1</x:v>
      </x:c>
      <x:c r="U14" s="235" t="str">
        <x:v>PENDING</x:v>
      </x:c>
      <x:c r="V14" s="235" t="str">
        <x:v>Codex</x:v>
      </x:c>
      <x:c r="W14" s="297" t="str">
        <x:v>KBJI–ISCO belum dipetakan; skor 0–5 adalah transformasi ordinal draft.</x:v>
      </x:c>
    </x:row>
    <x:row r="15">
      <x:c r="A15" s="293" t="str"/>
      <x:c r="B15" s="294" t="str"/>
      <x:c r="C15" s="235" t="str"/>
      <x:c r="D15" s="295" t="str">
        <x:v>2643</x:v>
      </x:c>
      <x:c r="E15" s="233" t="str">
        <x:v>Translators, Interpreters and Other Linguists</x:v>
      </x:c>
      <x:c r="F15" s="233" t="str">
        <x:v>UNRESOLVED</x:v>
      </x:c>
      <x:c r="G15" s="233"/>
      <x:c r="H15" s="233" t="str"/>
      <x:c r="I15" s="233"/>
      <x:c r="J15" s="233" t="str">
        <x:v>PENDING</x:v>
      </x:c>
      <x:c r="K15" s="233" t="str">
        <x:v>Gradient 3</x:v>
      </x:c>
      <x:c r="L15" s="296" t="n">
        <x:v>0.59</x:v>
      </x:c>
      <x:c r="M15" s="296" t="n">
        <x:v>0.11</x:v>
      </x:c>
      <x:c r="N15" s="233" t="n">
        <x:v>4</x:v>
      </x:c>
      <x:c r="O15" s="233" t="str">
        <x:v>DRAFT_ORDINAL_MAPPING</x:v>
      </x:c>
      <x:c r="P15" s="233" t="str">
        <x:v>VERIFIED</x:v>
      </x:c>
      <x:c r="Q15" s="235" t="str"/>
      <x:c r="R15" s="235" t="str"/>
      <x:c r="S15" s="233" t="str">
        <x:v>ILO_SCORE25</x:v>
      </x:c>
      <x:c r="T15" s="233" t="str">
        <x:v>WP140 online Annex, Table A1</x:v>
      </x:c>
      <x:c r="U15" s="235" t="str">
        <x:v>PENDING</x:v>
      </x:c>
      <x:c r="V15" s="235" t="str">
        <x:v>Codex</x:v>
      </x:c>
      <x:c r="W15" s="297" t="str">
        <x:v>KBJI–ISCO belum dipetakan; skor 0–5 adalah transformasi ordinal draft.</x:v>
      </x:c>
    </x:row>
    <x:row r="16">
      <x:c r="A16" s="293" t="str"/>
      <x:c r="B16" s="294" t="str"/>
      <x:c r="C16" s="235" t="str"/>
      <x:c r="D16" s="295" t="str">
        <x:v>4120</x:v>
      </x:c>
      <x:c r="E16" s="233" t="str">
        <x:v>Secretaries (general)</x:v>
      </x:c>
      <x:c r="F16" s="233" t="str">
        <x:v>UNRESOLVED</x:v>
      </x:c>
      <x:c r="G16" s="233"/>
      <x:c r="H16" s="233" t="str"/>
      <x:c r="I16" s="233"/>
      <x:c r="J16" s="233" t="str">
        <x:v>PENDING</x:v>
      </x:c>
      <x:c r="K16" s="233" t="str">
        <x:v>Gradient 3</x:v>
      </x:c>
      <x:c r="L16" s="296" t="n">
        <x:v>0.58</x:v>
      </x:c>
      <x:c r="M16" s="296" t="n">
        <x:v>0.1</x:v>
      </x:c>
      <x:c r="N16" s="233" t="n">
        <x:v>4</x:v>
      </x:c>
      <x:c r="O16" s="233" t="str">
        <x:v>DRAFT_ORDINAL_MAPPING</x:v>
      </x:c>
      <x:c r="P16" s="233" t="str">
        <x:v>VERIFIED</x:v>
      </x:c>
      <x:c r="Q16" s="235" t="str"/>
      <x:c r="R16" s="235" t="str"/>
      <x:c r="S16" s="233" t="str">
        <x:v>ILO_SCORE25</x:v>
      </x:c>
      <x:c r="T16" s="233" t="str">
        <x:v>WP140 online Annex, Table A1</x:v>
      </x:c>
      <x:c r="U16" s="235" t="str">
        <x:v>PENDING</x:v>
      </x:c>
      <x:c r="V16" s="235" t="str">
        <x:v>Codex</x:v>
      </x:c>
      <x:c r="W16" s="297" t="str">
        <x:v>KBJI–ISCO belum dipetakan; skor 0–5 adalah transformasi ordinal draft.</x:v>
      </x:c>
    </x:row>
    <x:row r="17">
      <x:c r="A17" s="293" t="str"/>
      <x:c r="B17" s="294" t="str"/>
      <x:c r="C17" s="235" t="str"/>
      <x:c r="D17" s="295" t="str">
        <x:v>4211</x:v>
      </x:c>
      <x:c r="E17" s="233" t="str">
        <x:v>Bank Tellers and Related Clerks</x:v>
      </x:c>
      <x:c r="F17" s="233" t="str">
        <x:v>UNRESOLVED</x:v>
      </x:c>
      <x:c r="G17" s="233"/>
      <x:c r="H17" s="233" t="str"/>
      <x:c r="I17" s="233"/>
      <x:c r="J17" s="233" t="str">
        <x:v>PENDING</x:v>
      </x:c>
      <x:c r="K17" s="233" t="str">
        <x:v>Gradient 3</x:v>
      </x:c>
      <x:c r="L17" s="296" t="n">
        <x:v>0.58</x:v>
      </x:c>
      <x:c r="M17" s="296" t="n">
        <x:v>0.09</x:v>
      </x:c>
      <x:c r="N17" s="233" t="n">
        <x:v>4</x:v>
      </x:c>
      <x:c r="O17" s="233" t="str">
        <x:v>DRAFT_ORDINAL_MAPPING</x:v>
      </x:c>
      <x:c r="P17" s="233" t="str">
        <x:v>VERIFIED</x:v>
      </x:c>
      <x:c r="Q17" s="235" t="str"/>
      <x:c r="R17" s="235" t="str"/>
      <x:c r="S17" s="233" t="str">
        <x:v>ILO_SCORE25</x:v>
      </x:c>
      <x:c r="T17" s="233" t="str">
        <x:v>WP140 online Annex, Table A1</x:v>
      </x:c>
      <x:c r="U17" s="235" t="str">
        <x:v>PENDING</x:v>
      </x:c>
      <x:c r="V17" s="235" t="str">
        <x:v>Codex</x:v>
      </x:c>
      <x:c r="W17" s="297" t="str">
        <x:v>KBJI–ISCO belum dipetakan; skor 0–5 adalah transformasi ordinal draft.</x:v>
      </x:c>
    </x:row>
    <x:row r="18">
      <x:c r="A18" s="293" t="str"/>
      <x:c r="B18" s="294" t="str"/>
      <x:c r="C18" s="235" t="str"/>
      <x:c r="D18" s="295" t="str">
        <x:v>4222</x:v>
      </x:c>
      <x:c r="E18" s="233" t="str">
        <x:v>Contact Centre Information Clerks</x:v>
      </x:c>
      <x:c r="F18" s="233" t="str">
        <x:v>UNRESOLVED</x:v>
      </x:c>
      <x:c r="G18" s="233"/>
      <x:c r="H18" s="233" t="str"/>
      <x:c r="I18" s="233"/>
      <x:c r="J18" s="233" t="str">
        <x:v>PENDING</x:v>
      </x:c>
      <x:c r="K18" s="233" t="str">
        <x:v>Gradient 3</x:v>
      </x:c>
      <x:c r="L18" s="296" t="n">
        <x:v>0.58</x:v>
      </x:c>
      <x:c r="M18" s="296" t="n">
        <x:v>0.06</x:v>
      </x:c>
      <x:c r="N18" s="233" t="n">
        <x:v>4</x:v>
      </x:c>
      <x:c r="O18" s="233" t="str">
        <x:v>DRAFT_ORDINAL_MAPPING</x:v>
      </x:c>
      <x:c r="P18" s="233" t="str">
        <x:v>VERIFIED</x:v>
      </x:c>
      <x:c r="Q18" s="235" t="str"/>
      <x:c r="R18" s="235" t="str"/>
      <x:c r="S18" s="233" t="str">
        <x:v>ILO_SCORE25</x:v>
      </x:c>
      <x:c r="T18" s="233" t="str">
        <x:v>WP140 online Annex, Table A1</x:v>
      </x:c>
      <x:c r="U18" s="235" t="str">
        <x:v>PENDING</x:v>
      </x:c>
      <x:c r="V18" s="235" t="str">
        <x:v>Codex</x:v>
      </x:c>
      <x:c r="W18" s="297" t="str">
        <x:v>KBJI–ISCO belum dipetakan; skor 0–5 adalah transformasi ordinal draft.</x:v>
      </x:c>
    </x:row>
    <x:row r="19">
      <x:c r="A19" s="293" t="str"/>
      <x:c r="B19" s="294" t="str"/>
      <x:c r="C19" s="235" t="str"/>
      <x:c r="D19" s="295" t="str">
        <x:v>4414</x:v>
      </x:c>
      <x:c r="E19" s="233" t="str">
        <x:v>Scribes and Related Workers</x:v>
      </x:c>
      <x:c r="F19" s="233" t="str">
        <x:v>UNRESOLVED</x:v>
      </x:c>
      <x:c r="G19" s="233"/>
      <x:c r="H19" s="233" t="str"/>
      <x:c r="I19" s="233"/>
      <x:c r="J19" s="233" t="str">
        <x:v>PENDING</x:v>
      </x:c>
      <x:c r="K19" s="233" t="str">
        <x:v>Gradient 3</x:v>
      </x:c>
      <x:c r="L19" s="296" t="n">
        <x:v>0.58</x:v>
      </x:c>
      <x:c r="M19" s="296" t="n">
        <x:v>0.08</x:v>
      </x:c>
      <x:c r="N19" s="233" t="n">
        <x:v>4</x:v>
      </x:c>
      <x:c r="O19" s="233" t="str">
        <x:v>DRAFT_ORDINAL_MAPPING</x:v>
      </x:c>
      <x:c r="P19" s="233" t="str">
        <x:v>VERIFIED</x:v>
      </x:c>
      <x:c r="Q19" s="235" t="str"/>
      <x:c r="R19" s="235" t="str"/>
      <x:c r="S19" s="233" t="str">
        <x:v>ILO_SCORE25</x:v>
      </x:c>
      <x:c r="T19" s="233" t="str">
        <x:v>WP140 online Annex, Table A1</x:v>
      </x:c>
      <x:c r="U19" s="235" t="str">
        <x:v>PENDING</x:v>
      </x:c>
      <x:c r="V19" s="235" t="str">
        <x:v>Codex</x:v>
      </x:c>
      <x:c r="W19" s="297" t="str">
        <x:v>KBJI–ISCO belum dipetakan; skor 0–5 adalah transformasi ordinal draft.</x:v>
      </x:c>
    </x:row>
    <x:row r="20">
      <x:c r="A20" s="293" t="str"/>
      <x:c r="B20" s="294" t="str"/>
      <x:c r="C20" s="235" t="str"/>
      <x:c r="D20" s="295" t="str">
        <x:v>2412</x:v>
      </x:c>
      <x:c r="E20" s="233" t="str">
        <x:v>Financial and Investment Advisers</x:v>
      </x:c>
      <x:c r="F20" s="233" t="str">
        <x:v>UNRESOLVED</x:v>
      </x:c>
      <x:c r="G20" s="233"/>
      <x:c r="H20" s="233" t="str"/>
      <x:c r="I20" s="233"/>
      <x:c r="J20" s="233" t="str">
        <x:v>PENDING</x:v>
      </x:c>
      <x:c r="K20" s="233" t="str">
        <x:v>Gradient 3</x:v>
      </x:c>
      <x:c r="L20" s="296" t="n">
        <x:v>0.57</x:v>
      </x:c>
      <x:c r="M20" s="296" t="n">
        <x:v>0.11</x:v>
      </x:c>
      <x:c r="N20" s="233" t="n">
        <x:v>4</x:v>
      </x:c>
      <x:c r="O20" s="233" t="str">
        <x:v>DRAFT_ORDINAL_MAPPING</x:v>
      </x:c>
      <x:c r="P20" s="233" t="str">
        <x:v>VERIFIED</x:v>
      </x:c>
      <x:c r="Q20" s="235" t="str"/>
      <x:c r="R20" s="235" t="str"/>
      <x:c r="S20" s="233" t="str">
        <x:v>ILO_SCORE25</x:v>
      </x:c>
      <x:c r="T20" s="233" t="str">
        <x:v>WP140 online Annex, Table A1</x:v>
      </x:c>
      <x:c r="U20" s="235" t="str">
        <x:v>PENDING</x:v>
      </x:c>
      <x:c r="V20" s="235" t="str">
        <x:v>Codex</x:v>
      </x:c>
      <x:c r="W20" s="297" t="str">
        <x:v>KBJI–ISCO belum dipetakan; skor 0–5 adalah transformasi ordinal draft.</x:v>
      </x:c>
    </x:row>
    <x:row r="21">
      <x:c r="A21" s="293" t="str"/>
      <x:c r="B21" s="294" t="str"/>
      <x:c r="C21" s="235" t="str"/>
      <x:c r="D21" s="295" t="str">
        <x:v>2514</x:v>
      </x:c>
      <x:c r="E21" s="233" t="str">
        <x:v>Applications Programmers</x:v>
      </x:c>
      <x:c r="F21" s="233" t="str">
        <x:v>UNRESOLVED</x:v>
      </x:c>
      <x:c r="G21" s="233"/>
      <x:c r="H21" s="233" t="str"/>
      <x:c r="I21" s="233"/>
      <x:c r="J21" s="233" t="str">
        <x:v>PENDING</x:v>
      </x:c>
      <x:c r="K21" s="233" t="str">
        <x:v>Gradient 3</x:v>
      </x:c>
      <x:c r="L21" s="296" t="n">
        <x:v>0.57</x:v>
      </x:c>
      <x:c r="M21" s="296" t="n">
        <x:v>0.08</x:v>
      </x:c>
      <x:c r="N21" s="233" t="n">
        <x:v>4</x:v>
      </x:c>
      <x:c r="O21" s="233" t="str">
        <x:v>DRAFT_ORDINAL_MAPPING</x:v>
      </x:c>
      <x:c r="P21" s="233" t="str">
        <x:v>VERIFIED</x:v>
      </x:c>
      <x:c r="Q21" s="235" t="str"/>
      <x:c r="R21" s="235" t="str"/>
      <x:c r="S21" s="233" t="str">
        <x:v>ILO_SCORE25</x:v>
      </x:c>
      <x:c r="T21" s="233" t="str">
        <x:v>WP140 online Annex, Table A1</x:v>
      </x:c>
      <x:c r="U21" s="235" t="str">
        <x:v>PENDING</x:v>
      </x:c>
      <x:c r="V21" s="235" t="str">
        <x:v>Codex</x:v>
      </x:c>
      <x:c r="W21" s="297" t="str">
        <x:v>KBJI–ISCO belum dipetakan; skor 0–5 adalah transformasi ordinal draft.</x:v>
      </x:c>
    </x:row>
    <x:row r="22">
      <x:c r="A22" s="293" t="str"/>
      <x:c r="B22" s="294" t="str"/>
      <x:c r="C22" s="235" t="str"/>
      <x:c r="D22" s="295" t="str">
        <x:v>2521</x:v>
      </x:c>
      <x:c r="E22" s="233" t="str">
        <x:v>Database Designers and Administrators</x:v>
      </x:c>
      <x:c r="F22" s="233" t="str">
        <x:v>UNRESOLVED</x:v>
      </x:c>
      <x:c r="G22" s="233"/>
      <x:c r="H22" s="233" t="str"/>
      <x:c r="I22" s="233"/>
      <x:c r="J22" s="233" t="str">
        <x:v>PENDING</x:v>
      </x:c>
      <x:c r="K22" s="233" t="str">
        <x:v>Gradient 3</x:v>
      </x:c>
      <x:c r="L22" s="296" t="n">
        <x:v>0.57</x:v>
      </x:c>
      <x:c r="M22" s="296" t="n">
        <x:v>0.08</x:v>
      </x:c>
      <x:c r="N22" s="233" t="n">
        <x:v>4</x:v>
      </x:c>
      <x:c r="O22" s="233" t="str">
        <x:v>DRAFT_ORDINAL_MAPPING</x:v>
      </x:c>
      <x:c r="P22" s="233" t="str">
        <x:v>VERIFIED</x:v>
      </x:c>
      <x:c r="Q22" s="235" t="str"/>
      <x:c r="R22" s="235" t="str"/>
      <x:c r="S22" s="233" t="str">
        <x:v>ILO_SCORE25</x:v>
      </x:c>
      <x:c r="T22" s="233" t="str">
        <x:v>WP140 online Annex, Table A1</x:v>
      </x:c>
      <x:c r="U22" s="235" t="str">
        <x:v>PENDING</x:v>
      </x:c>
      <x:c r="V22" s="235" t="str">
        <x:v>Codex</x:v>
      </x:c>
      <x:c r="W22" s="297" t="str">
        <x:v>KBJI–ISCO belum dipetakan; skor 0–5 adalah transformasi ordinal draft.</x:v>
      </x:c>
    </x:row>
    <x:row r="23">
      <x:c r="A23" s="293" t="str"/>
      <x:c r="B23" s="294" t="str"/>
      <x:c r="C23" s="235" t="str"/>
      <x:c r="D23" s="295" t="str">
        <x:v>2522</x:v>
      </x:c>
      <x:c r="E23" s="233" t="str">
        <x:v>Systems Aministrators</x:v>
      </x:c>
      <x:c r="F23" s="233" t="str">
        <x:v>UNRESOLVED</x:v>
      </x:c>
      <x:c r="G23" s="233"/>
      <x:c r="H23" s="233" t="str"/>
      <x:c r="I23" s="233"/>
      <x:c r="J23" s="233" t="str">
        <x:v>PENDING</x:v>
      </x:c>
      <x:c r="K23" s="233" t="str">
        <x:v>Gradient 3</x:v>
      </x:c>
      <x:c r="L23" s="296" t="n">
        <x:v>0.57</x:v>
      </x:c>
      <x:c r="M23" s="296" t="n">
        <x:v>0.05</x:v>
      </x:c>
      <x:c r="N23" s="233" t="n">
        <x:v>4</x:v>
      </x:c>
      <x:c r="O23" s="233" t="str">
        <x:v>DRAFT_ORDINAL_MAPPING</x:v>
      </x:c>
      <x:c r="P23" s="233" t="str">
        <x:v>VERIFIED</x:v>
      </x:c>
      <x:c r="Q23" s="235" t="str"/>
      <x:c r="R23" s="235" t="str"/>
      <x:c r="S23" s="233" t="str">
        <x:v>ILO_SCORE25</x:v>
      </x:c>
      <x:c r="T23" s="233" t="str">
        <x:v>WP140 online Annex, Table A1</x:v>
      </x:c>
      <x:c r="U23" s="235" t="str">
        <x:v>PENDING</x:v>
      </x:c>
      <x:c r="V23" s="235" t="str">
        <x:v>Codex</x:v>
      </x:c>
      <x:c r="W23" s="297" t="str">
        <x:v>KBJI–ISCO belum dipetakan; skor 0–5 adalah transformasi ordinal draft.</x:v>
      </x:c>
    </x:row>
    <x:row r="24">
      <x:c r="A24" s="293" t="str"/>
      <x:c r="B24" s="294" t="str"/>
      <x:c r="C24" s="235" t="str"/>
      <x:c r="D24" s="295" t="str">
        <x:v>3314</x:v>
      </x:c>
      <x:c r="E24" s="233" t="str">
        <x:v>Statistical, Mathematical and Related Associate Professionals</x:v>
      </x:c>
      <x:c r="F24" s="233" t="str">
        <x:v>UNRESOLVED</x:v>
      </x:c>
      <x:c r="G24" s="233"/>
      <x:c r="H24" s="233" t="str"/>
      <x:c r="I24" s="233"/>
      <x:c r="J24" s="233" t="str">
        <x:v>PENDING</x:v>
      </x:c>
      <x:c r="K24" s="233" t="str">
        <x:v>Gradient 3</x:v>
      </x:c>
      <x:c r="L24" s="296" t="n">
        <x:v>0.57</x:v>
      </x:c>
      <x:c r="M24" s="296" t="n">
        <x:v>0.1</x:v>
      </x:c>
      <x:c r="N24" s="233" t="n">
        <x:v>4</x:v>
      </x:c>
      <x:c r="O24" s="233" t="str">
        <x:v>DRAFT_ORDINAL_MAPPING</x:v>
      </x:c>
      <x:c r="P24" s="233" t="str">
        <x:v>VERIFIED</x:v>
      </x:c>
      <x:c r="Q24" s="235" t="str"/>
      <x:c r="R24" s="235" t="str"/>
      <x:c r="S24" s="233" t="str">
        <x:v>ILO_SCORE25</x:v>
      </x:c>
      <x:c r="T24" s="233" t="str">
        <x:v>WP140 online Annex, Table A1</x:v>
      </x:c>
      <x:c r="U24" s="235" t="str">
        <x:v>PENDING</x:v>
      </x:c>
      <x:c r="V24" s="235" t="str">
        <x:v>Codex</x:v>
      </x:c>
      <x:c r="W24" s="297" t="str">
        <x:v>KBJI–ISCO belum dipetakan; skor 0–5 adalah transformasi ordinal draft.</x:v>
      </x:c>
    </x:row>
    <x:row r="25">
      <x:c r="A25" s="293" t="str"/>
      <x:c r="B25" s="294" t="str"/>
      <x:c r="C25" s="235" t="str"/>
      <x:c r="D25" s="295" t="str">
        <x:v>3331</x:v>
      </x:c>
      <x:c r="E25" s="233" t="str">
        <x:v>Clearing and Forwarding Aents</x:v>
      </x:c>
      <x:c r="F25" s="233" t="str">
        <x:v>UNRESOLVED</x:v>
      </x:c>
      <x:c r="G25" s="233"/>
      <x:c r="H25" s="233" t="str"/>
      <x:c r="I25" s="233"/>
      <x:c r="J25" s="233" t="str">
        <x:v>PENDING</x:v>
      </x:c>
      <x:c r="K25" s="233" t="str">
        <x:v>Gradient 3</x:v>
      </x:c>
      <x:c r="L25" s="296" t="n">
        <x:v>0.57</x:v>
      </x:c>
      <x:c r="M25" s="296" t="n">
        <x:v>0.09</x:v>
      </x:c>
      <x:c r="N25" s="233" t="n">
        <x:v>4</x:v>
      </x:c>
      <x:c r="O25" s="233" t="str">
        <x:v>DRAFT_ORDINAL_MAPPING</x:v>
      </x:c>
      <x:c r="P25" s="233" t="str">
        <x:v>VERIFIED</x:v>
      </x:c>
      <x:c r="Q25" s="235" t="str"/>
      <x:c r="R25" s="235" t="str"/>
      <x:c r="S25" s="233" t="str">
        <x:v>ILO_SCORE25</x:v>
      </x:c>
      <x:c r="T25" s="233" t="str">
        <x:v>WP140 online Annex, Table A1</x:v>
      </x:c>
      <x:c r="U25" s="235" t="str">
        <x:v>PENDING</x:v>
      </x:c>
      <x:c r="V25" s="235" t="str">
        <x:v>Codex</x:v>
      </x:c>
      <x:c r="W25" s="297" t="str">
        <x:v>KBJI–ISCO belum dipetakan; skor 0–5 adalah transformasi ordinal draft.</x:v>
      </x:c>
    </x:row>
    <x:row r="26">
      <x:c r="A26" s="293" t="str"/>
      <x:c r="B26" s="294" t="str"/>
      <x:c r="C26" s="235" t="str"/>
      <x:c r="D26" s="295" t="str">
        <x:v>4225</x:v>
      </x:c>
      <x:c r="E26" s="233" t="str">
        <x:v>Inquiry Clerks</x:v>
      </x:c>
      <x:c r="F26" s="233" t="str">
        <x:v>UNRESOLVED</x:v>
      </x:c>
      <x:c r="G26" s="233"/>
      <x:c r="H26" s="233" t="str"/>
      <x:c r="I26" s="233"/>
      <x:c r="J26" s="233" t="str">
        <x:v>PENDING</x:v>
      </x:c>
      <x:c r="K26" s="233" t="str">
        <x:v>Gradient 3</x:v>
      </x:c>
      <x:c r="L26" s="296" t="n">
        <x:v>0.57</x:v>
      </x:c>
      <x:c r="M26" s="296" t="n">
        <x:v>0.09</x:v>
      </x:c>
      <x:c r="N26" s="233" t="n">
        <x:v>4</x:v>
      </x:c>
      <x:c r="O26" s="233" t="str">
        <x:v>DRAFT_ORDINAL_MAPPING</x:v>
      </x:c>
      <x:c r="P26" s="233" t="str">
        <x:v>VERIFIED</x:v>
      </x:c>
      <x:c r="Q26" s="235" t="str"/>
      <x:c r="R26" s="235" t="str"/>
      <x:c r="S26" s="233" t="str">
        <x:v>ILO_SCORE25</x:v>
      </x:c>
      <x:c r="T26" s="233" t="str">
        <x:v>WP140 online Annex, Table A1</x:v>
      </x:c>
      <x:c r="U26" s="235" t="str">
        <x:v>PENDING</x:v>
      </x:c>
      <x:c r="V26" s="235" t="str">
        <x:v>Codex</x:v>
      </x:c>
      <x:c r="W26" s="297" t="str">
        <x:v>KBJI–ISCO belum dipetakan; skor 0–5 adalah transformasi ordinal draft.</x:v>
      </x:c>
    </x:row>
    <x:row r="27">
      <x:c r="A27" s="293" t="str"/>
      <x:c r="B27" s="294" t="str"/>
      <x:c r="C27" s="235" t="str"/>
      <x:c r="D27" s="295" t="str">
        <x:v>4226</x:v>
      </x:c>
      <x:c r="E27" s="233" t="str">
        <x:v>Receptionists (general)</x:v>
      </x:c>
      <x:c r="F27" s="233" t="str">
        <x:v>UNRESOLVED</x:v>
      </x:c>
      <x:c r="G27" s="233"/>
      <x:c r="H27" s="233" t="str"/>
      <x:c r="I27" s="233"/>
      <x:c r="J27" s="233" t="str">
        <x:v>PENDING</x:v>
      </x:c>
      <x:c r="K27" s="233" t="str">
        <x:v>Gradient 3</x:v>
      </x:c>
      <x:c r="L27" s="296" t="n">
        <x:v>0.57</x:v>
      </x:c>
      <x:c r="M27" s="296" t="n">
        <x:v>0.17</x:v>
      </x:c>
      <x:c r="N27" s="233" t="n">
        <x:v>4</x:v>
      </x:c>
      <x:c r="O27" s="233" t="str">
        <x:v>DRAFT_ORDINAL_MAPPING</x:v>
      </x:c>
      <x:c r="P27" s="233" t="str">
        <x:v>VERIFIED</x:v>
      </x:c>
      <x:c r="Q27" s="235" t="str"/>
      <x:c r="R27" s="235" t="str"/>
      <x:c r="S27" s="233" t="str">
        <x:v>ILO_SCORE25</x:v>
      </x:c>
      <x:c r="T27" s="233" t="str">
        <x:v>WP140 online Annex, Table A1</x:v>
      </x:c>
      <x:c r="U27" s="235" t="str">
        <x:v>PENDING</x:v>
      </x:c>
      <x:c r="V27" s="235" t="str">
        <x:v>Codex</x:v>
      </x:c>
      <x:c r="W27" s="297" t="str">
        <x:v>KBJI–ISCO belum dipetakan; skor 0–5 adalah transformasi ordinal draft.</x:v>
      </x:c>
    </x:row>
    <x:row r="28">
      <x:c r="A28" s="293" t="str"/>
      <x:c r="B28" s="294" t="str"/>
      <x:c r="C28" s="235" t="str"/>
      <x:c r="D28" s="295" t="str">
        <x:v>2120</x:v>
      </x:c>
      <x:c r="E28" s="233" t="str">
        <x:v>Mathematicians, Actuaries and Statisticians</x:v>
      </x:c>
      <x:c r="F28" s="233" t="str">
        <x:v>UNRESOLVED</x:v>
      </x:c>
      <x:c r="G28" s="233"/>
      <x:c r="H28" s="233" t="str"/>
      <x:c r="I28" s="233"/>
      <x:c r="J28" s="233" t="str">
        <x:v>PENDING</x:v>
      </x:c>
      <x:c r="K28" s="233" t="str">
        <x:v>Gradient 3</x:v>
      </x:c>
      <x:c r="L28" s="296" t="n">
        <x:v>0.56</x:v>
      </x:c>
      <x:c r="M28" s="296" t="n">
        <x:v>0.09</x:v>
      </x:c>
      <x:c r="N28" s="233" t="n">
        <x:v>4</x:v>
      </x:c>
      <x:c r="O28" s="233" t="str">
        <x:v>DRAFT_ORDINAL_MAPPING</x:v>
      </x:c>
      <x:c r="P28" s="233" t="str">
        <x:v>VERIFIED</x:v>
      </x:c>
      <x:c r="Q28" s="235" t="str"/>
      <x:c r="R28" s="235" t="str"/>
      <x:c r="S28" s="233" t="str">
        <x:v>ILO_SCORE25</x:v>
      </x:c>
      <x:c r="T28" s="233" t="str">
        <x:v>WP140 online Annex, Table A1</x:v>
      </x:c>
      <x:c r="U28" s="235" t="str">
        <x:v>PENDING</x:v>
      </x:c>
      <x:c r="V28" s="235" t="str">
        <x:v>Codex</x:v>
      </x:c>
      <x:c r="W28" s="297" t="str">
        <x:v>KBJI–ISCO belum dipetakan; skor 0–5 adalah transformasi ordinal draft.</x:v>
      </x:c>
    </x:row>
    <x:row r="29">
      <x:c r="A29" s="293" t="str"/>
      <x:c r="B29" s="294" t="str"/>
      <x:c r="C29" s="235" t="str"/>
      <x:c r="D29" s="295" t="str">
        <x:v>4221</x:v>
      </x:c>
      <x:c r="E29" s="233" t="str">
        <x:v>Travel Consultants and Clerks</x:v>
      </x:c>
      <x:c r="F29" s="233" t="str">
        <x:v>UNRESOLVED</x:v>
      </x:c>
      <x:c r="G29" s="233"/>
      <x:c r="H29" s="233" t="str"/>
      <x:c r="I29" s="233"/>
      <x:c r="J29" s="233" t="str">
        <x:v>PENDING</x:v>
      </x:c>
      <x:c r="K29" s="233" t="str">
        <x:v>Gradient 3</x:v>
      </x:c>
      <x:c r="L29" s="296" t="n">
        <x:v>0.56</x:v>
      </x:c>
      <x:c r="M29" s="296" t="n">
        <x:v>0.07</x:v>
      </x:c>
      <x:c r="N29" s="233" t="n">
        <x:v>4</x:v>
      </x:c>
      <x:c r="O29" s="233" t="str">
        <x:v>DRAFT_ORDINAL_MAPPING</x:v>
      </x:c>
      <x:c r="P29" s="233" t="str">
        <x:v>VERIFIED</x:v>
      </x:c>
      <x:c r="Q29" s="235" t="str"/>
      <x:c r="R29" s="235" t="str"/>
      <x:c r="S29" s="233" t="str">
        <x:v>ILO_SCORE25</x:v>
      </x:c>
      <x:c r="T29" s="233" t="str">
        <x:v>WP140 online Annex, Table A1</x:v>
      </x:c>
      <x:c r="U29" s="235" t="str">
        <x:v>PENDING</x:v>
      </x:c>
      <x:c r="V29" s="235" t="str">
        <x:v>Codex</x:v>
      </x:c>
      <x:c r="W29" s="297" t="str">
        <x:v>KBJI–ISCO belum dipetakan; skor 0–5 adalah transformasi ordinal draft.</x:v>
      </x:c>
    </x:row>
    <x:row r="30">
      <x:c r="A30" s="293" t="str"/>
      <x:c r="B30" s="294" t="str"/>
      <x:c r="C30" s="235" t="str"/>
      <x:c r="D30" s="295" t="str">
        <x:v>2431</x:v>
      </x:c>
      <x:c r="E30" s="233" t="str">
        <x:v>Advertising and Marketing Professionals</x:v>
      </x:c>
      <x:c r="F30" s="233" t="str">
        <x:v>UNRESOLVED</x:v>
      </x:c>
      <x:c r="G30" s="233"/>
      <x:c r="H30" s="233" t="str"/>
      <x:c r="I30" s="233"/>
      <x:c r="J30" s="233" t="str">
        <x:v>PENDING</x:v>
      </x:c>
      <x:c r="K30" s="233" t="str">
        <x:v>Gradient 3</x:v>
      </x:c>
      <x:c r="L30" s="296" t="n">
        <x:v>0.55</x:v>
      </x:c>
      <x:c r="M30" s="296" t="n">
        <x:v>0.09</x:v>
      </x:c>
      <x:c r="N30" s="233" t="n">
        <x:v>4</x:v>
      </x:c>
      <x:c r="O30" s="233" t="str">
        <x:v>DRAFT_ORDINAL_MAPPING</x:v>
      </x:c>
      <x:c r="P30" s="233" t="str">
        <x:v>VERIFIED</x:v>
      </x:c>
      <x:c r="Q30" s="235" t="str"/>
      <x:c r="R30" s="235" t="str"/>
      <x:c r="S30" s="233" t="str">
        <x:v>ILO_SCORE25</x:v>
      </x:c>
      <x:c r="T30" s="233" t="str">
        <x:v>WP140 online Annex, Table A1</x:v>
      </x:c>
      <x:c r="U30" s="235" t="str">
        <x:v>PENDING</x:v>
      </x:c>
      <x:c r="V30" s="235" t="str">
        <x:v>Codex</x:v>
      </x:c>
      <x:c r="W30" s="297" t="str">
        <x:v>KBJI–ISCO belum dipetakan; skor 0–5 adalah transformasi ordinal draft.</x:v>
      </x:c>
    </x:row>
    <x:row r="31">
      <x:c r="A31" s="293" t="str"/>
      <x:c r="B31" s="294" t="str"/>
      <x:c r="C31" s="235" t="str"/>
      <x:c r="D31" s="295" t="str">
        <x:v>2519</x:v>
      </x:c>
      <x:c r="E31" s="233" t="str">
        <x:v>Software and Applications Developers and Analysts Not Elsewhere Classified</x:v>
      </x:c>
      <x:c r="F31" s="233" t="str">
        <x:v>UNRESOLVED</x:v>
      </x:c>
      <x:c r="G31" s="233"/>
      <x:c r="H31" s="233" t="str"/>
      <x:c r="I31" s="233"/>
      <x:c r="J31" s="233" t="str">
        <x:v>PENDING</x:v>
      </x:c>
      <x:c r="K31" s="233" t="str">
        <x:v>Gradient 3</x:v>
      </x:c>
      <x:c r="L31" s="296" t="n">
        <x:v>0.55</x:v>
      </x:c>
      <x:c r="M31" s="296" t="n">
        <x:v>0.16</x:v>
      </x:c>
      <x:c r="N31" s="233" t="n">
        <x:v>4</x:v>
      </x:c>
      <x:c r="O31" s="233" t="str">
        <x:v>DRAFT_ORDINAL_MAPPING</x:v>
      </x:c>
      <x:c r="P31" s="233" t="str">
        <x:v>VERIFIED</x:v>
      </x:c>
      <x:c r="Q31" s="235" t="str"/>
      <x:c r="R31" s="235" t="str"/>
      <x:c r="S31" s="233" t="str">
        <x:v>ILO_SCORE25</x:v>
      </x:c>
      <x:c r="T31" s="233" t="str">
        <x:v>WP140 online Annex, Table A1</x:v>
      </x:c>
      <x:c r="U31" s="235" t="str">
        <x:v>PENDING</x:v>
      </x:c>
      <x:c r="V31" s="235" t="str">
        <x:v>Codex</x:v>
      </x:c>
      <x:c r="W31" s="297" t="str">
        <x:v>KBJI–ISCO belum dipetakan; skor 0–5 adalah transformasi ordinal draft.</x:v>
      </x:c>
    </x:row>
    <x:row r="32">
      <x:c r="A32" s="293" t="str"/>
      <x:c r="B32" s="294" t="str"/>
      <x:c r="C32" s="235" t="str"/>
      <x:c r="D32" s="295" t="str">
        <x:v>2622</x:v>
      </x:c>
      <x:c r="E32" s="233" t="str">
        <x:v>Librarians and Related Information Professionals</x:v>
      </x:c>
      <x:c r="F32" s="233" t="str">
        <x:v>UNRESOLVED</x:v>
      </x:c>
      <x:c r="G32" s="233"/>
      <x:c r="H32" s="233" t="str"/>
      <x:c r="I32" s="233"/>
      <x:c r="J32" s="233" t="str">
        <x:v>PENDING</x:v>
      </x:c>
      <x:c r="K32" s="233" t="str">
        <x:v>Gradient 3</x:v>
      </x:c>
      <x:c r="L32" s="296" t="n">
        <x:v>0.55</x:v>
      </x:c>
      <x:c r="M32" s="296" t="n">
        <x:v>0.04</x:v>
      </x:c>
      <x:c r="N32" s="233" t="n">
        <x:v>4</x:v>
      </x:c>
      <x:c r="O32" s="233" t="str">
        <x:v>DRAFT_ORDINAL_MAPPING</x:v>
      </x:c>
      <x:c r="P32" s="233" t="str">
        <x:v>VERIFIED</x:v>
      </x:c>
      <x:c r="Q32" s="235" t="str"/>
      <x:c r="R32" s="235" t="str"/>
      <x:c r="S32" s="233" t="str">
        <x:v>ILO_SCORE25</x:v>
      </x:c>
      <x:c r="T32" s="233" t="str">
        <x:v>WP140 online Annex, Table A1</x:v>
      </x:c>
      <x:c r="U32" s="235" t="str">
        <x:v>PENDING</x:v>
      </x:c>
      <x:c r="V32" s="235" t="str">
        <x:v>Codex</x:v>
      </x:c>
      <x:c r="W32" s="297" t="str">
        <x:v>KBJI–ISCO belum dipetakan; skor 0–5 adalah transformasi ordinal draft.</x:v>
      </x:c>
    </x:row>
    <x:row r="33">
      <x:c r="A33" s="293" t="str"/>
      <x:c r="B33" s="294" t="str"/>
      <x:c r="C33" s="235" t="str"/>
      <x:c r="D33" s="295" t="str">
        <x:v>2631</x:v>
      </x:c>
      <x:c r="E33" s="233" t="str">
        <x:v>Economists</x:v>
      </x:c>
      <x:c r="F33" s="233" t="str">
        <x:v>UNRESOLVED</x:v>
      </x:c>
      <x:c r="G33" s="233"/>
      <x:c r="H33" s="233" t="str"/>
      <x:c r="I33" s="233"/>
      <x:c r="J33" s="233" t="str">
        <x:v>PENDING</x:v>
      </x:c>
      <x:c r="K33" s="233" t="str">
        <x:v>Gradient 3</x:v>
      </x:c>
      <x:c r="L33" s="296" t="n">
        <x:v>0.55</x:v>
      </x:c>
      <x:c r="M33" s="296" t="n">
        <x:v>0.08</x:v>
      </x:c>
      <x:c r="N33" s="233" t="n">
        <x:v>4</x:v>
      </x:c>
      <x:c r="O33" s="233" t="str">
        <x:v>DRAFT_ORDINAL_MAPPING</x:v>
      </x:c>
      <x:c r="P33" s="233" t="str">
        <x:v>VERIFIED</x:v>
      </x:c>
      <x:c r="Q33" s="235" t="str"/>
      <x:c r="R33" s="235" t="str"/>
      <x:c r="S33" s="233" t="str">
        <x:v>ILO_SCORE25</x:v>
      </x:c>
      <x:c r="T33" s="233" t="str">
        <x:v>WP140 online Annex, Table A1</x:v>
      </x:c>
      <x:c r="U33" s="235" t="str">
        <x:v>PENDING</x:v>
      </x:c>
      <x:c r="V33" s="235" t="str">
        <x:v>Codex</x:v>
      </x:c>
      <x:c r="W33" s="297" t="str">
        <x:v>KBJI–ISCO belum dipetakan; skor 0–5 adalah transformasi ordinal draft.</x:v>
      </x:c>
    </x:row>
    <x:row r="34">
      <x:c r="A34" s="293" t="str"/>
      <x:c r="B34" s="294" t="str"/>
      <x:c r="C34" s="235" t="str"/>
      <x:c r="D34" s="295" t="str">
        <x:v>2641</x:v>
      </x:c>
      <x:c r="E34" s="233" t="str">
        <x:v>Authors and Related Writers</x:v>
      </x:c>
      <x:c r="F34" s="233" t="str">
        <x:v>UNRESOLVED</x:v>
      </x:c>
      <x:c r="G34" s="233"/>
      <x:c r="H34" s="233" t="str"/>
      <x:c r="I34" s="233"/>
      <x:c r="J34" s="233" t="str">
        <x:v>PENDING</x:v>
      </x:c>
      <x:c r="K34" s="233" t="str">
        <x:v>Gradient 3</x:v>
      </x:c>
      <x:c r="L34" s="296" t="n">
        <x:v>0.55</x:v>
      </x:c>
      <x:c r="M34" s="296" t="n">
        <x:v>0.09</x:v>
      </x:c>
      <x:c r="N34" s="233" t="n">
        <x:v>4</x:v>
      </x:c>
      <x:c r="O34" s="233" t="str">
        <x:v>DRAFT_ORDINAL_MAPPING</x:v>
      </x:c>
      <x:c r="P34" s="233" t="str">
        <x:v>VERIFIED</x:v>
      </x:c>
      <x:c r="Q34" s="235" t="str"/>
      <x:c r="R34" s="235" t="str"/>
      <x:c r="S34" s="233" t="str">
        <x:v>ILO_SCORE25</x:v>
      </x:c>
      <x:c r="T34" s="233" t="str">
        <x:v>WP140 online Annex, Table A1</x:v>
      </x:c>
      <x:c r="U34" s="235" t="str">
        <x:v>PENDING</x:v>
      </x:c>
      <x:c r="V34" s="235" t="str">
        <x:v>Codex</x:v>
      </x:c>
      <x:c r="W34" s="297" t="str">
        <x:v>KBJI–ISCO belum dipetakan; skor 0–5 adalah transformasi ordinal draft.</x:v>
      </x:c>
    </x:row>
    <x:row r="35">
      <x:c r="A35" s="293" t="str"/>
      <x:c r="B35" s="294" t="str"/>
      <x:c r="C35" s="235" t="str"/>
      <x:c r="D35" s="295" t="str">
        <x:v>3342</x:v>
      </x:c>
      <x:c r="E35" s="233" t="str">
        <x:v>Legal Secretaries</x:v>
      </x:c>
      <x:c r="F35" s="233" t="str">
        <x:v>UNRESOLVED</x:v>
      </x:c>
      <x:c r="G35" s="233"/>
      <x:c r="H35" s="233" t="str"/>
      <x:c r="I35" s="233"/>
      <x:c r="J35" s="233" t="str">
        <x:v>PENDING</x:v>
      </x:c>
      <x:c r="K35" s="233" t="str">
        <x:v>Gradient 3</x:v>
      </x:c>
      <x:c r="L35" s="296" t="n">
        <x:v>0.55</x:v>
      </x:c>
      <x:c r="M35" s="296" t="n">
        <x:v>0.13</x:v>
      </x:c>
      <x:c r="N35" s="233" t="n">
        <x:v>4</x:v>
      </x:c>
      <x:c r="O35" s="233" t="str">
        <x:v>DRAFT_ORDINAL_MAPPING</x:v>
      </x:c>
      <x:c r="P35" s="233" t="str">
        <x:v>VERIFIED</x:v>
      </x:c>
      <x:c r="Q35" s="235" t="str"/>
      <x:c r="R35" s="235" t="str"/>
      <x:c r="S35" s="233" t="str">
        <x:v>ILO_SCORE25</x:v>
      </x:c>
      <x:c r="T35" s="233" t="str">
        <x:v>WP140 online Annex, Table A1</x:v>
      </x:c>
      <x:c r="U35" s="235" t="str">
        <x:v>PENDING</x:v>
      </x:c>
      <x:c r="V35" s="235" t="str">
        <x:v>Codex</x:v>
      </x:c>
      <x:c r="W35" s="297" t="str">
        <x:v>KBJI–ISCO belum dipetakan; skor 0–5 adalah transformasi ordinal draft.</x:v>
      </x:c>
    </x:row>
    <x:row r="36">
      <x:c r="A36" s="293" t="str"/>
      <x:c r="B36" s="294" t="str"/>
      <x:c r="C36" s="235" t="str"/>
      <x:c r="D36" s="295" t="str">
        <x:v>4227</x:v>
      </x:c>
      <x:c r="E36" s="233" t="str">
        <x:v>Survey and Market Research Interviewers</x:v>
      </x:c>
      <x:c r="F36" s="233" t="str">
        <x:v>UNRESOLVED</x:v>
      </x:c>
      <x:c r="G36" s="233"/>
      <x:c r="H36" s="233" t="str"/>
      <x:c r="I36" s="233"/>
      <x:c r="J36" s="233" t="str">
        <x:v>PENDING</x:v>
      </x:c>
      <x:c r="K36" s="233" t="str">
        <x:v>Gradient 3</x:v>
      </x:c>
      <x:c r="L36" s="296" t="n">
        <x:v>0.55</x:v>
      </x:c>
      <x:c r="M36" s="296" t="n">
        <x:v>0.16</x:v>
      </x:c>
      <x:c r="N36" s="233" t="n">
        <x:v>4</x:v>
      </x:c>
      <x:c r="O36" s="233" t="str">
        <x:v>DRAFT_ORDINAL_MAPPING</x:v>
      </x:c>
      <x:c r="P36" s="233" t="str">
        <x:v>VERIFIED</x:v>
      </x:c>
      <x:c r="Q36" s="235" t="str"/>
      <x:c r="R36" s="235" t="str"/>
      <x:c r="S36" s="233" t="str">
        <x:v>ILO_SCORE25</x:v>
      </x:c>
      <x:c r="T36" s="233" t="str">
        <x:v>WP140 online Annex, Table A1</x:v>
      </x:c>
      <x:c r="U36" s="235" t="str">
        <x:v>PENDING</x:v>
      </x:c>
      <x:c r="V36" s="235" t="str">
        <x:v>Codex</x:v>
      </x:c>
      <x:c r="W36" s="297" t="str">
        <x:v>KBJI–ISCO belum dipetakan; skor 0–5 adalah transformasi ordinal draft.</x:v>
      </x:c>
    </x:row>
    <x:row r="37">
      <x:c r="A37" s="293" t="str"/>
      <x:c r="B37" s="294" t="str"/>
      <x:c r="C37" s="235" t="str"/>
      <x:c r="D37" s="295" t="str">
        <x:v>2112</x:v>
      </x:c>
      <x:c r="E37" s="233" t="str">
        <x:v>Meteorologists</x:v>
      </x:c>
      <x:c r="F37" s="233" t="str">
        <x:v>UNRESOLVED</x:v>
      </x:c>
      <x:c r="G37" s="233"/>
      <x:c r="H37" s="233" t="str"/>
      <x:c r="I37" s="233"/>
      <x:c r="J37" s="233" t="str">
        <x:v>PENDING</x:v>
      </x:c>
      <x:c r="K37" s="233" t="str">
        <x:v>Gradient 3</x:v>
      </x:c>
      <x:c r="L37" s="296" t="n">
        <x:v>0.54</x:v>
      </x:c>
      <x:c r="M37" s="296" t="n">
        <x:v>0.13</x:v>
      </x:c>
      <x:c r="N37" s="233" t="n">
        <x:v>4</x:v>
      </x:c>
      <x:c r="O37" s="233" t="str">
        <x:v>DRAFT_ORDINAL_MAPPING</x:v>
      </x:c>
      <x:c r="P37" s="233" t="str">
        <x:v>VERIFIED</x:v>
      </x:c>
      <x:c r="Q37" s="235" t="str"/>
      <x:c r="R37" s="235" t="str"/>
      <x:c r="S37" s="233" t="str">
        <x:v>ILO_SCORE25</x:v>
      </x:c>
      <x:c r="T37" s="233" t="str">
        <x:v>WP140 online Annex, Table A1</x:v>
      </x:c>
      <x:c r="U37" s="235" t="str">
        <x:v>PENDING</x:v>
      </x:c>
      <x:c r="V37" s="235" t="str">
        <x:v>Codex</x:v>
      </x:c>
      <x:c r="W37" s="297" t="str">
        <x:v>KBJI–ISCO belum dipetakan; skor 0–5 adalah transformasi ordinal draft.</x:v>
      </x:c>
    </x:row>
    <x:row r="38">
      <x:c r="A38" s="293" t="str"/>
      <x:c r="B38" s="294" t="str"/>
      <x:c r="C38" s="235" t="str"/>
      <x:c r="D38" s="295" t="str">
        <x:v>2642</x:v>
      </x:c>
      <x:c r="E38" s="233" t="str">
        <x:v>Journalists</x:v>
      </x:c>
      <x:c r="F38" s="233" t="str">
        <x:v>UNRESOLVED</x:v>
      </x:c>
      <x:c r="G38" s="233"/>
      <x:c r="H38" s="233" t="str"/>
      <x:c r="I38" s="233"/>
      <x:c r="J38" s="233" t="str">
        <x:v>PENDING</x:v>
      </x:c>
      <x:c r="K38" s="233" t="str">
        <x:v>Gradient 3</x:v>
      </x:c>
      <x:c r="L38" s="296" t="n">
        <x:v>0.54</x:v>
      </x:c>
      <x:c r="M38" s="296" t="n">
        <x:v>0.1</x:v>
      </x:c>
      <x:c r="N38" s="233" t="n">
        <x:v>4</x:v>
      </x:c>
      <x:c r="O38" s="233" t="str">
        <x:v>DRAFT_ORDINAL_MAPPING</x:v>
      </x:c>
      <x:c r="P38" s="233" t="str">
        <x:v>VERIFIED</x:v>
      </x:c>
      <x:c r="Q38" s="235" t="str"/>
      <x:c r="R38" s="235" t="str"/>
      <x:c r="S38" s="233" t="str">
        <x:v>ILO_SCORE25</x:v>
      </x:c>
      <x:c r="T38" s="233" t="str">
        <x:v>WP140 online Annex, Table A1</x:v>
      </x:c>
      <x:c r="U38" s="235" t="str">
        <x:v>PENDING</x:v>
      </x:c>
      <x:c r="V38" s="235" t="str">
        <x:v>Codex</x:v>
      </x:c>
      <x:c r="W38" s="297" t="str">
        <x:v>KBJI–ISCO belum dipetakan; skor 0–5 adalah transformasi ordinal draft.</x:v>
      </x:c>
    </x:row>
    <x:row r="39">
      <x:c r="A39" s="293" t="str"/>
      <x:c r="B39" s="294" t="str"/>
      <x:c r="C39" s="235" t="str"/>
      <x:c r="D39" s="295" t="str">
        <x:v>3343</x:v>
      </x:c>
      <x:c r="E39" s="233" t="str">
        <x:v>Administrative and Executive Secretaries</x:v>
      </x:c>
      <x:c r="F39" s="233" t="str">
        <x:v>UNRESOLVED</x:v>
      </x:c>
      <x:c r="G39" s="233"/>
      <x:c r="H39" s="233" t="str"/>
      <x:c r="I39" s="233"/>
      <x:c r="J39" s="233" t="str">
        <x:v>PENDING</x:v>
      </x:c>
      <x:c r="K39" s="233" t="str">
        <x:v>Gradient 3</x:v>
      </x:c>
      <x:c r="L39" s="296" t="n">
        <x:v>0.54</x:v>
      </x:c>
      <x:c r="M39" s="296" t="n">
        <x:v>0.14</x:v>
      </x:c>
      <x:c r="N39" s="233" t="n">
        <x:v>4</x:v>
      </x:c>
      <x:c r="O39" s="233" t="str">
        <x:v>DRAFT_ORDINAL_MAPPING</x:v>
      </x:c>
      <x:c r="P39" s="233" t="str">
        <x:v>VERIFIED</x:v>
      </x:c>
      <x:c r="Q39" s="235" t="str"/>
      <x:c r="R39" s="235" t="str"/>
      <x:c r="S39" s="233" t="str">
        <x:v>ILO_SCORE25</x:v>
      </x:c>
      <x:c r="T39" s="233" t="str">
        <x:v>WP140 online Annex, Table A1</x:v>
      </x:c>
      <x:c r="U39" s="235" t="str">
        <x:v>PENDING</x:v>
      </x:c>
      <x:c r="V39" s="235" t="str">
        <x:v>Codex</x:v>
      </x:c>
      <x:c r="W39" s="297" t="str">
        <x:v>KBJI–ISCO belum dipetakan; skor 0–5 adalah transformasi ordinal draft.</x:v>
      </x:c>
    </x:row>
    <x:row r="40">
      <x:c r="A40" s="293" t="str"/>
      <x:c r="B40" s="294" t="str"/>
      <x:c r="C40" s="235" t="str"/>
      <x:c r="D40" s="295" t="str">
        <x:v>4223</x:v>
      </x:c>
      <x:c r="E40" s="233" t="str">
        <x:v>Telephone Switchboard Operators</x:v>
      </x:c>
      <x:c r="F40" s="233" t="str">
        <x:v>UNRESOLVED</x:v>
      </x:c>
      <x:c r="G40" s="233"/>
      <x:c r="H40" s="233" t="str"/>
      <x:c r="I40" s="233"/>
      <x:c r="J40" s="233" t="str">
        <x:v>PENDING</x:v>
      </x:c>
      <x:c r="K40" s="233" t="str">
        <x:v>Gradient 3</x:v>
      </x:c>
      <x:c r="L40" s="296" t="n">
        <x:v>0.54</x:v>
      </x:c>
      <x:c r="M40" s="296" t="n">
        <x:v>0.15</x:v>
      </x:c>
      <x:c r="N40" s="233" t="n">
        <x:v>4</x:v>
      </x:c>
      <x:c r="O40" s="233" t="str">
        <x:v>DRAFT_ORDINAL_MAPPING</x:v>
      </x:c>
      <x:c r="P40" s="233" t="str">
        <x:v>VERIFIED</x:v>
      </x:c>
      <x:c r="Q40" s="235" t="str"/>
      <x:c r="R40" s="235" t="str"/>
      <x:c r="S40" s="233" t="str">
        <x:v>ILO_SCORE25</x:v>
      </x:c>
      <x:c r="T40" s="233" t="str">
        <x:v>WP140 online Annex, Table A1</x:v>
      </x:c>
      <x:c r="U40" s="235" t="str">
        <x:v>PENDING</x:v>
      </x:c>
      <x:c r="V40" s="235" t="str">
        <x:v>Codex</x:v>
      </x:c>
      <x:c r="W40" s="297" t="str">
        <x:v>KBJI–ISCO belum dipetakan; skor 0–5 adalah transformasi ordinal draft.</x:v>
      </x:c>
    </x:row>
    <x:row r="41">
      <x:c r="A41" s="293" t="str"/>
      <x:c r="B41" s="294" t="str"/>
      <x:c r="C41" s="235" t="str"/>
      <x:c r="D41" s="295" t="str">
        <x:v>2512</x:v>
      </x:c>
      <x:c r="E41" s="233" t="str">
        <x:v>Software Developers</x:v>
      </x:c>
      <x:c r="F41" s="233" t="str">
        <x:v>UNRESOLVED</x:v>
      </x:c>
      <x:c r="G41" s="233"/>
      <x:c r="H41" s="233" t="str"/>
      <x:c r="I41" s="233"/>
      <x:c r="J41" s="233" t="str">
        <x:v>PENDING</x:v>
      </x:c>
      <x:c r="K41" s="233" t="str">
        <x:v>Gradient 3</x:v>
      </x:c>
      <x:c r="L41" s="296" t="n">
        <x:v>0.53</x:v>
      </x:c>
      <x:c r="M41" s="296" t="n">
        <x:v>0.07</x:v>
      </x:c>
      <x:c r="N41" s="233" t="n">
        <x:v>4</x:v>
      </x:c>
      <x:c r="O41" s="233" t="str">
        <x:v>DRAFT_ORDINAL_MAPPING</x:v>
      </x:c>
      <x:c r="P41" s="233" t="str">
        <x:v>VERIFIED</x:v>
      </x:c>
      <x:c r="Q41" s="235" t="str"/>
      <x:c r="R41" s="235" t="str"/>
      <x:c r="S41" s="233" t="str">
        <x:v>ILO_SCORE25</x:v>
      </x:c>
      <x:c r="T41" s="233" t="str">
        <x:v>WP140 online Annex, Table A1</x:v>
      </x:c>
      <x:c r="U41" s="235" t="str">
        <x:v>PENDING</x:v>
      </x:c>
      <x:c r="V41" s="235" t="str">
        <x:v>Codex</x:v>
      </x:c>
      <x:c r="W41" s="297" t="str">
        <x:v>KBJI–ISCO belum dipetakan; skor 0–5 adalah transformasi ordinal draft.</x:v>
      </x:c>
    </x:row>
    <x:row r="42">
      <x:c r="A42" s="293" t="str"/>
      <x:c r="B42" s="294" t="str"/>
      <x:c r="C42" s="235" t="str"/>
      <x:c r="D42" s="295" t="str">
        <x:v>3321</x:v>
      </x:c>
      <x:c r="E42" s="233" t="str">
        <x:v>Insurance Representatives</x:v>
      </x:c>
      <x:c r="F42" s="233" t="str">
        <x:v>UNRESOLVED</x:v>
      </x:c>
      <x:c r="G42" s="233"/>
      <x:c r="H42" s="233" t="str"/>
      <x:c r="I42" s="233"/>
      <x:c r="J42" s="233" t="str">
        <x:v>PENDING</x:v>
      </x:c>
      <x:c r="K42" s="233" t="str">
        <x:v>Gradient 3</x:v>
      </x:c>
      <x:c r="L42" s="296" t="n">
        <x:v>0.53</x:v>
      </x:c>
      <x:c r="M42" s="296" t="n">
        <x:v>0.12</x:v>
      </x:c>
      <x:c r="N42" s="233" t="n">
        <x:v>4</x:v>
      </x:c>
      <x:c r="O42" s="233" t="str">
        <x:v>DRAFT_ORDINAL_MAPPING</x:v>
      </x:c>
      <x:c r="P42" s="233" t="str">
        <x:v>VERIFIED</x:v>
      </x:c>
      <x:c r="Q42" s="235" t="str"/>
      <x:c r="R42" s="235" t="str"/>
      <x:c r="S42" s="233" t="str">
        <x:v>ILO_SCORE25</x:v>
      </x:c>
      <x:c r="T42" s="233" t="str">
        <x:v>WP140 online Annex, Table A1</x:v>
      </x:c>
      <x:c r="U42" s="235" t="str">
        <x:v>PENDING</x:v>
      </x:c>
      <x:c r="V42" s="235" t="str">
        <x:v>Codex</x:v>
      </x:c>
      <x:c r="W42" s="297" t="str">
        <x:v>KBJI–ISCO belum dipetakan; skor 0–5 adalah transformasi ordinal draft.</x:v>
      </x:c>
    </x:row>
    <x:row r="43">
      <x:c r="A43" s="293" t="str"/>
      <x:c r="B43" s="294" t="str"/>
      <x:c r="C43" s="235" t="str"/>
      <x:c r="D43" s="295" t="str">
        <x:v>3344</x:v>
      </x:c>
      <x:c r="E43" s="233" t="str">
        <x:v>Medical Secretaries</x:v>
      </x:c>
      <x:c r="F43" s="233" t="str">
        <x:v>UNRESOLVED</x:v>
      </x:c>
      <x:c r="G43" s="233"/>
      <x:c r="H43" s="233" t="str"/>
      <x:c r="I43" s="233"/>
      <x:c r="J43" s="233" t="str">
        <x:v>PENDING</x:v>
      </x:c>
      <x:c r="K43" s="233" t="str">
        <x:v>Gradient 3</x:v>
      </x:c>
      <x:c r="L43" s="296" t="n">
        <x:v>0.53</x:v>
      </x:c>
      <x:c r="M43" s="296" t="n">
        <x:v>0.11</x:v>
      </x:c>
      <x:c r="N43" s="233" t="n">
        <x:v>4</x:v>
      </x:c>
      <x:c r="O43" s="233" t="str">
        <x:v>DRAFT_ORDINAL_MAPPING</x:v>
      </x:c>
      <x:c r="P43" s="233" t="str">
        <x:v>VERIFIED</x:v>
      </x:c>
      <x:c r="Q43" s="235" t="str"/>
      <x:c r="R43" s="235" t="str"/>
      <x:c r="S43" s="233" t="str">
        <x:v>ILO_SCORE25</x:v>
      </x:c>
      <x:c r="T43" s="233" t="str">
        <x:v>WP140 online Annex, Table A1</x:v>
      </x:c>
      <x:c r="U43" s="235" t="str">
        <x:v>PENDING</x:v>
      </x:c>
      <x:c r="V43" s="235" t="str">
        <x:v>Codex</x:v>
      </x:c>
      <x:c r="W43" s="297" t="str">
        <x:v>KBJI–ISCO belum dipetakan; skor 0–5 adalah transformasi ordinal draft.</x:v>
      </x:c>
    </x:row>
    <x:row r="44">
      <x:c r="A44" s="293" t="str"/>
      <x:c r="B44" s="294" t="str"/>
      <x:c r="C44" s="235" t="str"/>
      <x:c r="D44" s="295" t="str">
        <x:v>3514</x:v>
      </x:c>
      <x:c r="E44" s="233" t="str">
        <x:v>Web Technicians</x:v>
      </x:c>
      <x:c r="F44" s="233" t="str">
        <x:v>UNRESOLVED</x:v>
      </x:c>
      <x:c r="G44" s="233"/>
      <x:c r="H44" s="233" t="str"/>
      <x:c r="I44" s="233"/>
      <x:c r="J44" s="233" t="str">
        <x:v>PENDING</x:v>
      </x:c>
      <x:c r="K44" s="233" t="str">
        <x:v>Gradient 3</x:v>
      </x:c>
      <x:c r="L44" s="296" t="n">
        <x:v>0.53</x:v>
      </x:c>
      <x:c r="M44" s="296" t="n">
        <x:v>0.12</x:v>
      </x:c>
      <x:c r="N44" s="233" t="n">
        <x:v>4</x:v>
      </x:c>
      <x:c r="O44" s="233" t="str">
        <x:v>DRAFT_ORDINAL_MAPPING</x:v>
      </x:c>
      <x:c r="P44" s="233" t="str">
        <x:v>VERIFIED</x:v>
      </x:c>
      <x:c r="Q44" s="235" t="str"/>
      <x:c r="R44" s="235" t="str"/>
      <x:c r="S44" s="233" t="str">
        <x:v>ILO_SCORE25</x:v>
      </x:c>
      <x:c r="T44" s="233" t="str">
        <x:v>WP140 online Annex, Table A1</x:v>
      </x:c>
      <x:c r="U44" s="235" t="str">
        <x:v>PENDING</x:v>
      </x:c>
      <x:c r="V44" s="235" t="str">
        <x:v>Codex</x:v>
      </x:c>
      <x:c r="W44" s="297" t="str">
        <x:v>KBJI–ISCO belum dipetakan; skor 0–5 adalah transformasi ordinal draft.</x:v>
      </x:c>
    </x:row>
    <x:row r="45">
      <x:c r="A45" s="293" t="str"/>
      <x:c r="B45" s="294" t="str"/>
      <x:c r="C45" s="235" t="str"/>
      <x:c r="D45" s="295" t="str">
        <x:v>2523</x:v>
      </x:c>
      <x:c r="E45" s="233" t="str">
        <x:v>Computer Network Professionals</x:v>
      </x:c>
      <x:c r="F45" s="233" t="str">
        <x:v>UNRESOLVED</x:v>
      </x:c>
      <x:c r="G45" s="233"/>
      <x:c r="H45" s="233" t="str"/>
      <x:c r="I45" s="233"/>
      <x:c r="J45" s="233" t="str">
        <x:v>PENDING</x:v>
      </x:c>
      <x:c r="K45" s="233" t="str">
        <x:v>Gradient 3</x:v>
      </x:c>
      <x:c r="L45" s="296" t="n">
        <x:v>0.52</x:v>
      </x:c>
      <x:c r="M45" s="296" t="n">
        <x:v>0.06</x:v>
      </x:c>
      <x:c r="N45" s="233" t="n">
        <x:v>4</x:v>
      </x:c>
      <x:c r="O45" s="233" t="str">
        <x:v>DRAFT_ORDINAL_MAPPING</x:v>
      </x:c>
      <x:c r="P45" s="233" t="str">
        <x:v>VERIFIED</x:v>
      </x:c>
      <x:c r="Q45" s="235" t="str"/>
      <x:c r="R45" s="235" t="str"/>
      <x:c r="S45" s="233" t="str">
        <x:v>ILO_SCORE25</x:v>
      </x:c>
      <x:c r="T45" s="233" t="str">
        <x:v>WP140 online Annex, Table A1</x:v>
      </x:c>
      <x:c r="U45" s="235" t="str">
        <x:v>PENDING</x:v>
      </x:c>
      <x:c r="V45" s="235" t="str">
        <x:v>Codex</x:v>
      </x:c>
      <x:c r="W45" s="297" t="str">
        <x:v>KBJI–ISCO belum dipetakan; skor 0–5 adalah transformasi ordinal draft.</x:v>
      </x:c>
    </x:row>
    <x:row r="46">
      <x:c r="A46" s="293" t="str"/>
      <x:c r="B46" s="294" t="str"/>
      <x:c r="C46" s="235" t="str"/>
      <x:c r="D46" s="295" t="str">
        <x:v>3252</x:v>
      </x:c>
      <x:c r="E46" s="233" t="str">
        <x:v>Medical Records and Health Information Technicians</x:v>
      </x:c>
      <x:c r="F46" s="233" t="str">
        <x:v>UNRESOLVED</x:v>
      </x:c>
      <x:c r="G46" s="233"/>
      <x:c r="H46" s="233" t="str"/>
      <x:c r="I46" s="233"/>
      <x:c r="J46" s="233" t="str">
        <x:v>PENDING</x:v>
      </x:c>
      <x:c r="K46" s="233" t="str">
        <x:v>Gradient 3</x:v>
      </x:c>
      <x:c r="L46" s="296" t="n">
        <x:v>0.52</x:v>
      </x:c>
      <x:c r="M46" s="296" t="n">
        <x:v>0.1</x:v>
      </x:c>
      <x:c r="N46" s="233" t="n">
        <x:v>4</x:v>
      </x:c>
      <x:c r="O46" s="233" t="str">
        <x:v>DRAFT_ORDINAL_MAPPING</x:v>
      </x:c>
      <x:c r="P46" s="233" t="str">
        <x:v>VERIFIED</x:v>
      </x:c>
      <x:c r="Q46" s="235" t="str"/>
      <x:c r="R46" s="235" t="str"/>
      <x:c r="S46" s="233" t="str">
        <x:v>ILO_SCORE25</x:v>
      </x:c>
      <x:c r="T46" s="233" t="str">
        <x:v>WP140 online Annex, Table A1</x:v>
      </x:c>
      <x:c r="U46" s="235" t="str">
        <x:v>PENDING</x:v>
      </x:c>
      <x:c r="V46" s="235" t="str">
        <x:v>Codex</x:v>
      </x:c>
      <x:c r="W46" s="297" t="str">
        <x:v>KBJI–ISCO belum dipetakan; skor 0–5 adalah transformasi ordinal draft.</x:v>
      </x:c>
    </x:row>
    <x:row r="47">
      <x:c r="A47" s="293" t="str"/>
      <x:c r="B47" s="294" t="str"/>
      <x:c r="C47" s="235" t="str"/>
      <x:c r="D47" s="295" t="str">
        <x:v>2411</x:v>
      </x:c>
      <x:c r="E47" s="233" t="str">
        <x:v>Accountants</x:v>
      </x:c>
      <x:c r="F47" s="233" t="str">
        <x:v>UNRESOLVED</x:v>
      </x:c>
      <x:c r="G47" s="233"/>
      <x:c r="H47" s="233" t="str"/>
      <x:c r="I47" s="233"/>
      <x:c r="J47" s="233" t="str">
        <x:v>PENDING</x:v>
      </x:c>
      <x:c r="K47" s="233" t="str">
        <x:v>Gradient 3</x:v>
      </x:c>
      <x:c r="L47" s="296" t="n">
        <x:v>0.51</x:v>
      </x:c>
      <x:c r="M47" s="296" t="n">
        <x:v>0.08</x:v>
      </x:c>
      <x:c r="N47" s="233" t="n">
        <x:v>4</x:v>
      </x:c>
      <x:c r="O47" s="233" t="str">
        <x:v>DRAFT_ORDINAL_MAPPING</x:v>
      </x:c>
      <x:c r="P47" s="233" t="str">
        <x:v>VERIFIED</x:v>
      </x:c>
      <x:c r="Q47" s="235" t="str"/>
      <x:c r="R47" s="235" t="str"/>
      <x:c r="S47" s="233" t="str">
        <x:v>ILO_SCORE25</x:v>
      </x:c>
      <x:c r="T47" s="233" t="str">
        <x:v>WP140 online Annex, Table A1</x:v>
      </x:c>
      <x:c r="U47" s="235" t="str">
        <x:v>PENDING</x:v>
      </x:c>
      <x:c r="V47" s="235" t="str">
        <x:v>Codex</x:v>
      </x:c>
      <x:c r="W47" s="297" t="str">
        <x:v>KBJI–ISCO belum dipetakan; skor 0–5 adalah transformasi ordinal draft.</x:v>
      </x:c>
    </x:row>
    <x:row r="48">
      <x:c r="A48" s="293" t="str"/>
      <x:c r="B48" s="294" t="str"/>
      <x:c r="C48" s="235" t="str"/>
      <x:c r="D48" s="295" t="str">
        <x:v>2434</x:v>
      </x:c>
      <x:c r="E48" s="233" t="str">
        <x:v>Information and Communications Technology Sales Professionals</x:v>
      </x:c>
      <x:c r="F48" s="233" t="str">
        <x:v>UNRESOLVED</x:v>
      </x:c>
      <x:c r="G48" s="233"/>
      <x:c r="H48" s="233" t="str"/>
      <x:c r="I48" s="233"/>
      <x:c r="J48" s="233" t="str">
        <x:v>PENDING</x:v>
      </x:c>
      <x:c r="K48" s="233" t="str">
        <x:v>Gradient 3</x:v>
      </x:c>
      <x:c r="L48" s="296" t="n">
        <x:v>0.51</x:v>
      </x:c>
      <x:c r="M48" s="296" t="n">
        <x:v>0.09</x:v>
      </x:c>
      <x:c r="N48" s="233" t="n">
        <x:v>4</x:v>
      </x:c>
      <x:c r="O48" s="233" t="str">
        <x:v>DRAFT_ORDINAL_MAPPING</x:v>
      </x:c>
      <x:c r="P48" s="233" t="str">
        <x:v>VERIFIED</x:v>
      </x:c>
      <x:c r="Q48" s="235" t="str"/>
      <x:c r="R48" s="235" t="str"/>
      <x:c r="S48" s="233" t="str">
        <x:v>ILO_SCORE25</x:v>
      </x:c>
      <x:c r="T48" s="233" t="str">
        <x:v>WP140 online Annex, Table A1</x:v>
      </x:c>
      <x:c r="U48" s="235" t="str">
        <x:v>PENDING</x:v>
      </x:c>
      <x:c r="V48" s="235" t="str">
        <x:v>Codex</x:v>
      </x:c>
      <x:c r="W48" s="297" t="str">
        <x:v>KBJI–ISCO belum dipetakan; skor 0–5 adalah transformasi ordinal draft.</x:v>
      </x:c>
    </x:row>
    <x:row r="49">
      <x:c r="A49" s="293" t="str"/>
      <x:c r="B49" s="294" t="str"/>
      <x:c r="C49" s="235" t="str"/>
      <x:c r="D49" s="295" t="str">
        <x:v>4224</x:v>
      </x:c>
      <x:c r="E49" s="233" t="str">
        <x:v>Hotel Receptionists</x:v>
      </x:c>
      <x:c r="F49" s="233" t="str">
        <x:v>UNRESOLVED</x:v>
      </x:c>
      <x:c r="G49" s="233"/>
      <x:c r="H49" s="233" t="str"/>
      <x:c r="I49" s="233"/>
      <x:c r="J49" s="233" t="str">
        <x:v>PENDING</x:v>
      </x:c>
      <x:c r="K49" s="233" t="str">
        <x:v>Gradient 3</x:v>
      </x:c>
      <x:c r="L49" s="296" t="n">
        <x:v>0.51</x:v>
      </x:c>
      <x:c r="M49" s="296" t="n">
        <x:v>0.07</x:v>
      </x:c>
      <x:c r="N49" s="233" t="n">
        <x:v>4</x:v>
      </x:c>
      <x:c r="O49" s="233" t="str">
        <x:v>DRAFT_ORDINAL_MAPPING</x:v>
      </x:c>
      <x:c r="P49" s="233" t="str">
        <x:v>VERIFIED</x:v>
      </x:c>
      <x:c r="Q49" s="235" t="str"/>
      <x:c r="R49" s="235" t="str"/>
      <x:c r="S49" s="233" t="str">
        <x:v>ILO_SCORE25</x:v>
      </x:c>
      <x:c r="T49" s="233" t="str">
        <x:v>WP140 online Annex, Table A1</x:v>
      </x:c>
      <x:c r="U49" s="235" t="str">
        <x:v>PENDING</x:v>
      </x:c>
      <x:c r="V49" s="235" t="str">
        <x:v>Codex</x:v>
      </x:c>
      <x:c r="W49" s="297" t="str">
        <x:v>KBJI–ISCO belum dipetakan; skor 0–5 adalah transformasi ordinal draft.</x:v>
      </x:c>
    </x:row>
    <x:row r="50">
      <x:c r="A50" s="293" t="str"/>
      <x:c r="B50" s="294" t="str"/>
      <x:c r="C50" s="235" t="str"/>
      <x:c r="D50" s="295" t="str">
        <x:v>4413</x:v>
      </x:c>
      <x:c r="E50" s="233" t="str">
        <x:v>Coding, Proofreading and Related Clerks</x:v>
      </x:c>
      <x:c r="F50" s="233" t="str">
        <x:v>UNRESOLVED</x:v>
      </x:c>
      <x:c r="G50" s="233"/>
      <x:c r="H50" s="233" t="str"/>
      <x:c r="I50" s="233"/>
      <x:c r="J50" s="233" t="str">
        <x:v>PENDING</x:v>
      </x:c>
      <x:c r="K50" s="233" t="str">
        <x:v>Gradient 3</x:v>
      </x:c>
      <x:c r="L50" s="296" t="n">
        <x:v>0.51</x:v>
      </x:c>
      <x:c r="M50" s="296" t="n">
        <x:v>0.2</x:v>
      </x:c>
      <x:c r="N50" s="233" t="n">
        <x:v>4</x:v>
      </x:c>
      <x:c r="O50" s="233" t="str">
        <x:v>DRAFT_ORDINAL_MAPPING</x:v>
      </x:c>
      <x:c r="P50" s="233" t="str">
        <x:v>VERIFIED</x:v>
      </x:c>
      <x:c r="Q50" s="235" t="str"/>
      <x:c r="R50" s="235" t="str"/>
      <x:c r="S50" s="233" t="str">
        <x:v>ILO_SCORE25</x:v>
      </x:c>
      <x:c r="T50" s="233" t="str">
        <x:v>WP140 online Annex, Table A1</x:v>
      </x:c>
      <x:c r="U50" s="235" t="str">
        <x:v>PENDING</x:v>
      </x:c>
      <x:c r="V50" s="235" t="str">
        <x:v>Codex</x:v>
      </x:c>
      <x:c r="W50" s="297" t="str">
        <x:v>KBJI–ISCO belum dipetakan; skor 0–5 adalah transformasi ordinal draft.</x:v>
      </x:c>
    </x:row>
    <x:row r="51">
      <x:c r="A51" s="293" t="str"/>
      <x:c r="B51" s="294" t="str"/>
      <x:c r="C51" s="235" t="str"/>
      <x:c r="D51" s="295" t="str">
        <x:v>2433</x:v>
      </x:c>
      <x:c r="E51" s="233" t="str">
        <x:v>Technical and Medical Sales Professionals (excluding ICT)</x:v>
      </x:c>
      <x:c r="F51" s="233" t="str">
        <x:v>UNRESOLVED</x:v>
      </x:c>
      <x:c r="G51" s="233"/>
      <x:c r="H51" s="233" t="str"/>
      <x:c r="I51" s="233"/>
      <x:c r="J51" s="233" t="str">
        <x:v>PENDING</x:v>
      </x:c>
      <x:c r="K51" s="233" t="str">
        <x:v>Gradient 3</x:v>
      </x:c>
      <x:c r="L51" s="296" t="n">
        <x:v>0.5</x:v>
      </x:c>
      <x:c r="M51" s="296" t="n">
        <x:v>0.1</x:v>
      </x:c>
      <x:c r="N51" s="233" t="n">
        <x:v>4</x:v>
      </x:c>
      <x:c r="O51" s="233" t="str">
        <x:v>DRAFT_ORDINAL_MAPPING</x:v>
      </x:c>
      <x:c r="P51" s="233" t="str">
        <x:v>VERIFIED</x:v>
      </x:c>
      <x:c r="Q51" s="235" t="str"/>
      <x:c r="R51" s="235" t="str"/>
      <x:c r="S51" s="233" t="str">
        <x:v>ILO_SCORE25</x:v>
      </x:c>
      <x:c r="T51" s="233" t="str">
        <x:v>WP140 online Annex, Table A1</x:v>
      </x:c>
      <x:c r="U51" s="235" t="str">
        <x:v>PENDING</x:v>
      </x:c>
      <x:c r="V51" s="235" t="str">
        <x:v>Codex</x:v>
      </x:c>
      <x:c r="W51" s="297" t="str">
        <x:v>KBJI–ISCO belum dipetakan; skor 0–5 adalah transformasi ordinal draft.</x:v>
      </x:c>
    </x:row>
    <x:row r="52">
      <x:c r="A52" s="293" t="str"/>
      <x:c r="B52" s="294" t="str"/>
      <x:c r="C52" s="235" t="str"/>
      <x:c r="D52" s="295" t="str">
        <x:v>4323</x:v>
      </x:c>
      <x:c r="E52" s="233" t="str">
        <x:v>Transport Clerks</x:v>
      </x:c>
      <x:c r="F52" s="233" t="str">
        <x:v>UNRESOLVED</x:v>
      </x:c>
      <x:c r="G52" s="233"/>
      <x:c r="H52" s="233" t="str"/>
      <x:c r="I52" s="233"/>
      <x:c r="J52" s="233" t="str">
        <x:v>PENDING</x:v>
      </x:c>
      <x:c r="K52" s="233" t="str">
        <x:v>Gradient 3</x:v>
      </x:c>
      <x:c r="L52" s="296" t="n">
        <x:v>0.5</x:v>
      </x:c>
      <x:c r="M52" s="296" t="n">
        <x:v>0.1</x:v>
      </x:c>
      <x:c r="N52" s="233" t="n">
        <x:v>4</x:v>
      </x:c>
      <x:c r="O52" s="233" t="str">
        <x:v>DRAFT_ORDINAL_MAPPING</x:v>
      </x:c>
      <x:c r="P52" s="233" t="str">
        <x:v>VERIFIED</x:v>
      </x:c>
      <x:c r="Q52" s="235" t="str"/>
      <x:c r="R52" s="235" t="str"/>
      <x:c r="S52" s="233" t="str">
        <x:v>ILO_SCORE25</x:v>
      </x:c>
      <x:c r="T52" s="233" t="str">
        <x:v>WP140 online Annex, Table A1</x:v>
      </x:c>
      <x:c r="U52" s="235" t="str">
        <x:v>PENDING</x:v>
      </x:c>
      <x:c r="V52" s="235" t="str">
        <x:v>Codex</x:v>
      </x:c>
      <x:c r="W52" s="297" t="str">
        <x:v>KBJI–ISCO belum dipetakan; skor 0–5 adalah transformasi ordinal draft.</x:v>
      </x:c>
    </x:row>
    <x:row r="53">
      <x:c r="A53" s="293" t="str"/>
      <x:c r="B53" s="294" t="str"/>
      <x:c r="C53" s="235" t="str"/>
      <x:c r="D53" s="295" t="str">
        <x:v>2166</x:v>
      </x:c>
      <x:c r="E53" s="233" t="str">
        <x:v>Graphic and Multimedia Designers</x:v>
      </x:c>
      <x:c r="F53" s="233" t="str">
        <x:v>UNRESOLVED</x:v>
      </x:c>
      <x:c r="G53" s="233"/>
      <x:c r="H53" s="233" t="str"/>
      <x:c r="I53" s="233"/>
      <x:c r="J53" s="233" t="str">
        <x:v>PENDING</x:v>
      </x:c>
      <x:c r="K53" s="233" t="str">
        <x:v>Gradient 2</x:v>
      </x:c>
      <x:c r="L53" s="296" t="n">
        <x:v>0.49</x:v>
      </x:c>
      <x:c r="M53" s="296" t="n">
        <x:v>0.09</x:v>
      </x:c>
      <x:c r="N53" s="233" t="n">
        <x:v>3</x:v>
      </x:c>
      <x:c r="O53" s="233" t="str">
        <x:v>DRAFT_ORDINAL_MAPPING</x:v>
      </x:c>
      <x:c r="P53" s="233" t="str">
        <x:v>VERIFIED</x:v>
      </x:c>
      <x:c r="Q53" s="235" t="str"/>
      <x:c r="R53" s="235" t="str"/>
      <x:c r="S53" s="233" t="str">
        <x:v>ILO_SCORE25</x:v>
      </x:c>
      <x:c r="T53" s="233" t="str">
        <x:v>WP140 online Annex, Table A1</x:v>
      </x:c>
      <x:c r="U53" s="235" t="str">
        <x:v>PENDING</x:v>
      </x:c>
      <x:c r="V53" s="235" t="str">
        <x:v>Codex</x:v>
      </x:c>
      <x:c r="W53" s="297" t="str">
        <x:v>KBJI–ISCO belum dipetakan; skor 0–5 adalah transformasi ordinal draft.</x:v>
      </x:c>
    </x:row>
    <x:row r="54">
      <x:c r="A54" s="293" t="str"/>
      <x:c r="B54" s="294" t="str"/>
      <x:c r="C54" s="235" t="str"/>
      <x:c r="D54" s="295" t="str">
        <x:v>2511</x:v>
      </x:c>
      <x:c r="E54" s="233" t="str">
        <x:v>Systems Analysts</x:v>
      </x:c>
      <x:c r="F54" s="233" t="str">
        <x:v>UNRESOLVED</x:v>
      </x:c>
      <x:c r="G54" s="233"/>
      <x:c r="H54" s="233" t="str"/>
      <x:c r="I54" s="233"/>
      <x:c r="J54" s="233" t="str">
        <x:v>PENDING</x:v>
      </x:c>
      <x:c r="K54" s="233" t="str">
        <x:v>Gradient 2</x:v>
      </x:c>
      <x:c r="L54" s="296" t="n">
        <x:v>0.49</x:v>
      </x:c>
      <x:c r="M54" s="296" t="n">
        <x:v>0.05</x:v>
      </x:c>
      <x:c r="N54" s="233" t="n">
        <x:v>3</x:v>
      </x:c>
      <x:c r="O54" s="233" t="str">
        <x:v>DRAFT_ORDINAL_MAPPING</x:v>
      </x:c>
      <x:c r="P54" s="233" t="str">
        <x:v>VERIFIED</x:v>
      </x:c>
      <x:c r="Q54" s="235" t="str"/>
      <x:c r="R54" s="235" t="str"/>
      <x:c r="S54" s="233" t="str">
        <x:v>ILO_SCORE25</x:v>
      </x:c>
      <x:c r="T54" s="233" t="str">
        <x:v>WP140 online Annex, Table A1</x:v>
      </x:c>
      <x:c r="U54" s="235" t="str">
        <x:v>PENDING</x:v>
      </x:c>
      <x:c r="V54" s="235" t="str">
        <x:v>Codex</x:v>
      </x:c>
      <x:c r="W54" s="297" t="str">
        <x:v>KBJI–ISCO belum dipetakan; skor 0–5 adalah transformasi ordinal draft.</x:v>
      </x:c>
    </x:row>
    <x:row r="55">
      <x:c r="A55" s="293" t="str"/>
      <x:c r="B55" s="294" t="str"/>
      <x:c r="C55" s="235" t="str"/>
      <x:c r="D55" s="295" t="str">
        <x:v>2529</x:v>
      </x:c>
      <x:c r="E55" s="233" t="str">
        <x:v>Database and Network Professionals Not Elsewhere Classified</x:v>
      </x:c>
      <x:c r="F55" s="233" t="str">
        <x:v>UNRESOLVED</x:v>
      </x:c>
      <x:c r="G55" s="233"/>
      <x:c r="H55" s="233" t="str"/>
      <x:c r="I55" s="233"/>
      <x:c r="J55" s="233" t="str">
        <x:v>PENDING</x:v>
      </x:c>
      <x:c r="K55" s="233" t="str">
        <x:v>Gradient 2</x:v>
      </x:c>
      <x:c r="L55" s="296" t="n">
        <x:v>0.49</x:v>
      </x:c>
      <x:c r="M55" s="296" t="n">
        <x:v>0.06</x:v>
      </x:c>
      <x:c r="N55" s="233" t="n">
        <x:v>3</x:v>
      </x:c>
      <x:c r="O55" s="233" t="str">
        <x:v>DRAFT_ORDINAL_MAPPING</x:v>
      </x:c>
      <x:c r="P55" s="233" t="str">
        <x:v>VERIFIED</x:v>
      </x:c>
      <x:c r="Q55" s="235" t="str"/>
      <x:c r="R55" s="235" t="str"/>
      <x:c r="S55" s="233" t="str">
        <x:v>ILO_SCORE25</x:v>
      </x:c>
      <x:c r="T55" s="233" t="str">
        <x:v>WP140 online Annex, Table A1</x:v>
      </x:c>
      <x:c r="U55" s="235" t="str">
        <x:v>PENDING</x:v>
      </x:c>
      <x:c r="V55" s="235" t="str">
        <x:v>Codex</x:v>
      </x:c>
      <x:c r="W55" s="297" t="str">
        <x:v>KBJI–ISCO belum dipetakan; skor 0–5 adalah transformasi ordinal draft.</x:v>
      </x:c>
    </x:row>
    <x:row r="56">
      <x:c r="A56" s="293" t="str"/>
      <x:c r="B56" s="294" t="str"/>
      <x:c r="C56" s="235" t="str"/>
      <x:c r="D56" s="295" t="str">
        <x:v>3313</x:v>
      </x:c>
      <x:c r="E56" s="233" t="str">
        <x:v>Accounting Associate Professionals</x:v>
      </x:c>
      <x:c r="F56" s="233" t="str">
        <x:v>UNRESOLVED</x:v>
      </x:c>
      <x:c r="G56" s="233"/>
      <x:c r="H56" s="233" t="str"/>
      <x:c r="I56" s="233"/>
      <x:c r="J56" s="233" t="str">
        <x:v>PENDING</x:v>
      </x:c>
      <x:c r="K56" s="233" t="str">
        <x:v>Gradient 2</x:v>
      </x:c>
      <x:c r="L56" s="296" t="n">
        <x:v>0.49</x:v>
      </x:c>
      <x:c r="M56" s="296" t="n">
        <x:v>0.13</x:v>
      </x:c>
      <x:c r="N56" s="233" t="n">
        <x:v>3</x:v>
      </x:c>
      <x:c r="O56" s="233" t="str">
        <x:v>DRAFT_ORDINAL_MAPPING</x:v>
      </x:c>
      <x:c r="P56" s="233" t="str">
        <x:v>VERIFIED</x:v>
      </x:c>
      <x:c r="Q56" s="235" t="str"/>
      <x:c r="R56" s="235" t="str"/>
      <x:c r="S56" s="233" t="str">
        <x:v>ILO_SCORE25</x:v>
      </x:c>
      <x:c r="T56" s="233" t="str">
        <x:v>WP140 online Annex, Table A1</x:v>
      </x:c>
      <x:c r="U56" s="235" t="str">
        <x:v>PENDING</x:v>
      </x:c>
      <x:c r="V56" s="235" t="str">
        <x:v>Codex</x:v>
      </x:c>
      <x:c r="W56" s="297" t="str">
        <x:v>KBJI–ISCO belum dipetakan; skor 0–5 adalah transformasi ordinal draft.</x:v>
      </x:c>
    </x:row>
    <x:row r="57">
      <x:c r="A57" s="293" t="str"/>
      <x:c r="B57" s="294" t="str"/>
      <x:c r="C57" s="235" t="str"/>
      <x:c r="D57" s="295" t="str">
        <x:v>3322</x:v>
      </x:c>
      <x:c r="E57" s="233" t="str">
        <x:v>Commercial Sales Representatives</x:v>
      </x:c>
      <x:c r="F57" s="233" t="str">
        <x:v>UNRESOLVED</x:v>
      </x:c>
      <x:c r="G57" s="233"/>
      <x:c r="H57" s="233" t="str"/>
      <x:c r="I57" s="233"/>
      <x:c r="J57" s="233" t="str">
        <x:v>PENDING</x:v>
      </x:c>
      <x:c r="K57" s="233" t="str">
        <x:v>Gradient 2</x:v>
      </x:c>
      <x:c r="L57" s="296" t="n">
        <x:v>0.49</x:v>
      </x:c>
      <x:c r="M57" s="296" t="n">
        <x:v>0.08</x:v>
      </x:c>
      <x:c r="N57" s="233" t="n">
        <x:v>3</x:v>
      </x:c>
      <x:c r="O57" s="233" t="str">
        <x:v>DRAFT_ORDINAL_MAPPING</x:v>
      </x:c>
      <x:c r="P57" s="233" t="str">
        <x:v>VERIFIED</x:v>
      </x:c>
      <x:c r="Q57" s="235" t="str"/>
      <x:c r="R57" s="235" t="str"/>
      <x:c r="S57" s="233" t="str">
        <x:v>ILO_SCORE25</x:v>
      </x:c>
      <x:c r="T57" s="233" t="str">
        <x:v>WP140 online Annex, Table A1</x:v>
      </x:c>
      <x:c r="U57" s="235" t="str">
        <x:v>PENDING</x:v>
      </x:c>
      <x:c r="V57" s="235" t="str">
        <x:v>Codex</x:v>
      </x:c>
      <x:c r="W57" s="297" t="str">
        <x:v>KBJI–ISCO belum dipetakan; skor 0–5 adalah transformasi ordinal draft.</x:v>
      </x:c>
    </x:row>
    <x:row r="58">
      <x:c r="A58" s="293" t="str"/>
      <x:c r="B58" s="294" t="str"/>
      <x:c r="C58" s="235" t="str"/>
      <x:c r="D58" s="295" t="str">
        <x:v>3352</x:v>
      </x:c>
      <x:c r="E58" s="233" t="str">
        <x:v>Government Tax and Excise Officials</x:v>
      </x:c>
      <x:c r="F58" s="233" t="str">
        <x:v>UNRESOLVED</x:v>
      </x:c>
      <x:c r="G58" s="233"/>
      <x:c r="H58" s="233" t="str"/>
      <x:c r="I58" s="233"/>
      <x:c r="J58" s="233" t="str">
        <x:v>PENDING</x:v>
      </x:c>
      <x:c r="K58" s="233" t="str">
        <x:v>Gradient 2</x:v>
      </x:c>
      <x:c r="L58" s="296" t="n">
        <x:v>0.49</x:v>
      </x:c>
      <x:c r="M58" s="296" t="n">
        <x:v>0.12</x:v>
      </x:c>
      <x:c r="N58" s="233" t="n">
        <x:v>3</x:v>
      </x:c>
      <x:c r="O58" s="233" t="str">
        <x:v>DRAFT_ORDINAL_MAPPING</x:v>
      </x:c>
      <x:c r="P58" s="233" t="str">
        <x:v>VERIFIED</x:v>
      </x:c>
      <x:c r="Q58" s="235" t="str"/>
      <x:c r="R58" s="235" t="str"/>
      <x:c r="S58" s="233" t="str">
        <x:v>ILO_SCORE25</x:v>
      </x:c>
      <x:c r="T58" s="233" t="str">
        <x:v>WP140 online Annex, Table A1</x:v>
      </x:c>
      <x:c r="U58" s="235" t="str">
        <x:v>PENDING</x:v>
      </x:c>
      <x:c r="V58" s="235" t="str">
        <x:v>Codex</x:v>
      </x:c>
      <x:c r="W58" s="297" t="str">
        <x:v>KBJI–ISCO belum dipetakan; skor 0–5 adalah transformasi ordinal draft.</x:v>
      </x:c>
    </x:row>
    <x:row r="59">
      <x:c r="A59" s="293" t="str"/>
      <x:c r="B59" s="294" t="str"/>
      <x:c r="C59" s="235" t="str"/>
      <x:c r="D59" s="295" t="str">
        <x:v>2153</x:v>
      </x:c>
      <x:c r="E59" s="233" t="str">
        <x:v>Telecommunications Engineers</x:v>
      </x:c>
      <x:c r="F59" s="233" t="str">
        <x:v>UNRESOLVED</x:v>
      </x:c>
      <x:c r="G59" s="233"/>
      <x:c r="H59" s="233" t="str"/>
      <x:c r="I59" s="233"/>
      <x:c r="J59" s="233" t="str">
        <x:v>PENDING</x:v>
      </x:c>
      <x:c r="K59" s="233" t="str">
        <x:v>Gradient 2</x:v>
      </x:c>
      <x:c r="L59" s="296" t="n">
        <x:v>0.48</x:v>
      </x:c>
      <x:c r="M59" s="296" t="n">
        <x:v>0.12</x:v>
      </x:c>
      <x:c r="N59" s="233" t="n">
        <x:v>3</x:v>
      </x:c>
      <x:c r="O59" s="233" t="str">
        <x:v>DRAFT_ORDINAL_MAPPING</x:v>
      </x:c>
      <x:c r="P59" s="233" t="str">
        <x:v>VERIFIED</x:v>
      </x:c>
      <x:c r="Q59" s="235" t="str"/>
      <x:c r="R59" s="235" t="str"/>
      <x:c r="S59" s="233" t="str">
        <x:v>ILO_SCORE25</x:v>
      </x:c>
      <x:c r="T59" s="233" t="str">
        <x:v>WP140 online Annex, Table A1</x:v>
      </x:c>
      <x:c r="U59" s="235" t="str">
        <x:v>PENDING</x:v>
      </x:c>
      <x:c r="V59" s="235" t="str">
        <x:v>Codex</x:v>
      </x:c>
      <x:c r="W59" s="297" t="str">
        <x:v>KBJI–ISCO belum dipetakan; skor 0–5 adalah transformasi ordinal draft.</x:v>
      </x:c>
    </x:row>
    <x:row r="60">
      <x:c r="A60" s="293" t="str"/>
      <x:c r="B60" s="294" t="str"/>
      <x:c r="C60" s="235" t="str"/>
      <x:c r="D60" s="295" t="str">
        <x:v>2632</x:v>
      </x:c>
      <x:c r="E60" s="233" t="str">
        <x:v>Sociologists, Anthropologists and Related Professionals</x:v>
      </x:c>
      <x:c r="F60" s="233" t="str">
        <x:v>UNRESOLVED</x:v>
      </x:c>
      <x:c r="G60" s="233"/>
      <x:c r="H60" s="233" t="str"/>
      <x:c r="I60" s="233"/>
      <x:c r="J60" s="233" t="str">
        <x:v>PENDING</x:v>
      </x:c>
      <x:c r="K60" s="233" t="str">
        <x:v>Gradient 2</x:v>
      </x:c>
      <x:c r="L60" s="296" t="n">
        <x:v>0.48</x:v>
      </x:c>
      <x:c r="M60" s="296" t="n">
        <x:v>0.12</x:v>
      </x:c>
      <x:c r="N60" s="233" t="n">
        <x:v>3</x:v>
      </x:c>
      <x:c r="O60" s="233" t="str">
        <x:v>DRAFT_ORDINAL_MAPPING</x:v>
      </x:c>
      <x:c r="P60" s="233" t="str">
        <x:v>VERIFIED</x:v>
      </x:c>
      <x:c r="Q60" s="235" t="str"/>
      <x:c r="R60" s="235" t="str"/>
      <x:c r="S60" s="233" t="str">
        <x:v>ILO_SCORE25</x:v>
      </x:c>
      <x:c r="T60" s="233" t="str">
        <x:v>WP140 online Annex, Table A1</x:v>
      </x:c>
      <x:c r="U60" s="235" t="str">
        <x:v>PENDING</x:v>
      </x:c>
      <x:c r="V60" s="235" t="str">
        <x:v>Codex</x:v>
      </x:c>
      <x:c r="W60" s="297" t="str">
        <x:v>KBJI–ISCO belum dipetakan; skor 0–5 adalah transformasi ordinal draft.</x:v>
      </x:c>
    </x:row>
    <x:row r="61">
      <x:c r="A61" s="293" t="str"/>
      <x:c r="B61" s="294" t="str"/>
      <x:c r="C61" s="235" t="str"/>
      <x:c r="D61" s="295" t="str">
        <x:v>3332</x:v>
      </x:c>
      <x:c r="E61" s="233" t="str">
        <x:v>Conference and Event Planners</x:v>
      </x:c>
      <x:c r="F61" s="233" t="str">
        <x:v>UNRESOLVED</x:v>
      </x:c>
      <x:c r="G61" s="233"/>
      <x:c r="H61" s="233" t="str"/>
      <x:c r="I61" s="233"/>
      <x:c r="J61" s="233" t="str">
        <x:v>PENDING</x:v>
      </x:c>
      <x:c r="K61" s="233" t="str">
        <x:v>Gradient 2</x:v>
      </x:c>
      <x:c r="L61" s="296" t="n">
        <x:v>0.48</x:v>
      </x:c>
      <x:c r="M61" s="296" t="n">
        <x:v>0.14</x:v>
      </x:c>
      <x:c r="N61" s="233" t="n">
        <x:v>3</x:v>
      </x:c>
      <x:c r="O61" s="233" t="str">
        <x:v>DRAFT_ORDINAL_MAPPING</x:v>
      </x:c>
      <x:c r="P61" s="233" t="str">
        <x:v>VERIFIED</x:v>
      </x:c>
      <x:c r="Q61" s="235" t="str"/>
      <x:c r="R61" s="235" t="str"/>
      <x:c r="S61" s="233" t="str">
        <x:v>ILO_SCORE25</x:v>
      </x:c>
      <x:c r="T61" s="233" t="str">
        <x:v>WP140 online Annex, Table A1</x:v>
      </x:c>
      <x:c r="U61" s="235" t="str">
        <x:v>PENDING</x:v>
      </x:c>
      <x:c r="V61" s="235" t="str">
        <x:v>Codex</x:v>
      </x:c>
      <x:c r="W61" s="297" t="str">
        <x:v>KBJI–ISCO belum dipetakan; skor 0–5 adalah transformasi ordinal draft.</x:v>
      </x:c>
    </x:row>
    <x:row r="62">
      <x:c r="A62" s="293" t="str"/>
      <x:c r="B62" s="294" t="str"/>
      <x:c r="C62" s="235" t="str"/>
      <x:c r="D62" s="295" t="str">
        <x:v>4213</x:v>
      </x:c>
      <x:c r="E62" s="233" t="str">
        <x:v>Pawnbrokers and Money-lenders</x:v>
      </x:c>
      <x:c r="F62" s="233" t="str">
        <x:v>UNRESOLVED</x:v>
      </x:c>
      <x:c r="G62" s="233"/>
      <x:c r="H62" s="233" t="str"/>
      <x:c r="I62" s="233"/>
      <x:c r="J62" s="233" t="str">
        <x:v>PENDING</x:v>
      </x:c>
      <x:c r="K62" s="233" t="str">
        <x:v>Gradient 2</x:v>
      </x:c>
      <x:c r="L62" s="296" t="n">
        <x:v>0.48</x:v>
      </x:c>
      <x:c r="M62" s="296" t="n">
        <x:v>0.06</x:v>
      </x:c>
      <x:c r="N62" s="233" t="n">
        <x:v>3</x:v>
      </x:c>
      <x:c r="O62" s="233" t="str">
        <x:v>DRAFT_ORDINAL_MAPPING</x:v>
      </x:c>
      <x:c r="P62" s="233" t="str">
        <x:v>VERIFIED</x:v>
      </x:c>
      <x:c r="Q62" s="235" t="str"/>
      <x:c r="R62" s="235" t="str"/>
      <x:c r="S62" s="233" t="str">
        <x:v>ILO_SCORE25</x:v>
      </x:c>
      <x:c r="T62" s="233" t="str">
        <x:v>WP140 online Annex, Table A1</x:v>
      </x:c>
      <x:c r="U62" s="235" t="str">
        <x:v>PENDING</x:v>
      </x:c>
      <x:c r="V62" s="235" t="str">
        <x:v>Codex</x:v>
      </x:c>
      <x:c r="W62" s="297" t="str">
        <x:v>KBJI–ISCO belum dipetakan; skor 0–5 adalah transformasi ordinal draft.</x:v>
      </x:c>
    </x:row>
    <x:row r="63">
      <x:c r="A63" s="293" t="str"/>
      <x:c r="B63" s="294" t="str"/>
      <x:c r="C63" s="235" t="str"/>
      <x:c r="D63" s="295" t="str">
        <x:v>1346</x:v>
      </x:c>
      <x:c r="E63" s="233" t="str">
        <x:v>Financial and Insurance Services Branch managers</x:v>
      </x:c>
      <x:c r="F63" s="233" t="str">
        <x:v>UNRESOLVED</x:v>
      </x:c>
      <x:c r="G63" s="233"/>
      <x:c r="H63" s="233" t="str"/>
      <x:c r="I63" s="233"/>
      <x:c r="J63" s="233" t="str">
        <x:v>PENDING</x:v>
      </x:c>
      <x:c r="K63" s="233" t="str">
        <x:v>Gradient 2</x:v>
      </x:c>
      <x:c r="L63" s="296" t="n">
        <x:v>0.47</x:v>
      </x:c>
      <x:c r="M63" s="296" t="n">
        <x:v>0.12</x:v>
      </x:c>
      <x:c r="N63" s="233" t="n">
        <x:v>3</x:v>
      </x:c>
      <x:c r="O63" s="233" t="str">
        <x:v>DRAFT_ORDINAL_MAPPING</x:v>
      </x:c>
      <x:c r="P63" s="233" t="str">
        <x:v>VERIFIED</x:v>
      </x:c>
      <x:c r="Q63" s="235" t="str"/>
      <x:c r="R63" s="235" t="str"/>
      <x:c r="S63" s="233" t="str">
        <x:v>ILO_SCORE25</x:v>
      </x:c>
      <x:c r="T63" s="233" t="str">
        <x:v>WP140 online Annex, Table A1</x:v>
      </x:c>
      <x:c r="U63" s="235" t="str">
        <x:v>PENDING</x:v>
      </x:c>
      <x:c r="V63" s="235" t="str">
        <x:v>Codex</x:v>
      </x:c>
      <x:c r="W63" s="297" t="str">
        <x:v>KBJI–ISCO belum dipetakan; skor 0–5 adalah transformasi ordinal draft.</x:v>
      </x:c>
    </x:row>
    <x:row r="64">
      <x:c r="A64" s="293" t="str"/>
      <x:c r="B64" s="294" t="str"/>
      <x:c r="C64" s="235" t="str"/>
      <x:c r="D64" s="295" t="str">
        <x:v>2356</x:v>
      </x:c>
      <x:c r="E64" s="233" t="str">
        <x:v>Information Technology Trainers</x:v>
      </x:c>
      <x:c r="F64" s="233" t="str">
        <x:v>UNRESOLVED</x:v>
      </x:c>
      <x:c r="G64" s="233"/>
      <x:c r="H64" s="233" t="str"/>
      <x:c r="I64" s="233"/>
      <x:c r="J64" s="233" t="str">
        <x:v>PENDING</x:v>
      </x:c>
      <x:c r="K64" s="233" t="str">
        <x:v>Gradient 2</x:v>
      </x:c>
      <x:c r="L64" s="296" t="n">
        <x:v>0.47</x:v>
      </x:c>
      <x:c r="M64" s="296" t="n">
        <x:v>0.1</x:v>
      </x:c>
      <x:c r="N64" s="233" t="n">
        <x:v>3</x:v>
      </x:c>
      <x:c r="O64" s="233" t="str">
        <x:v>DRAFT_ORDINAL_MAPPING</x:v>
      </x:c>
      <x:c r="P64" s="233" t="str">
        <x:v>VERIFIED</x:v>
      </x:c>
      <x:c r="Q64" s="235" t="str"/>
      <x:c r="R64" s="235" t="str"/>
      <x:c r="S64" s="233" t="str">
        <x:v>ILO_SCORE25</x:v>
      </x:c>
      <x:c r="T64" s="233" t="str">
        <x:v>WP140 online Annex, Table A1</x:v>
      </x:c>
      <x:c r="U64" s="235" t="str">
        <x:v>PENDING</x:v>
      </x:c>
      <x:c r="V64" s="235" t="str">
        <x:v>Codex</x:v>
      </x:c>
      <x:c r="W64" s="297" t="str">
        <x:v>KBJI–ISCO belum dipetakan; skor 0–5 adalah transformasi ordinal draft.</x:v>
      </x:c>
    </x:row>
    <x:row r="65">
      <x:c r="A65" s="293" t="str"/>
      <x:c r="B65" s="294" t="str"/>
      <x:c r="C65" s="235" t="str"/>
      <x:c r="D65" s="295" t="str">
        <x:v>2621</x:v>
      </x:c>
      <x:c r="E65" s="233" t="str">
        <x:v>Archivists and Curators</x:v>
      </x:c>
      <x:c r="F65" s="233" t="str">
        <x:v>UNRESOLVED</x:v>
      </x:c>
      <x:c r="G65" s="233"/>
      <x:c r="H65" s="233" t="str"/>
      <x:c r="I65" s="233"/>
      <x:c r="J65" s="233" t="str">
        <x:v>PENDING</x:v>
      </x:c>
      <x:c r="K65" s="233" t="str">
        <x:v>Gradient 2</x:v>
      </x:c>
      <x:c r="L65" s="296" t="n">
        <x:v>0.47</x:v>
      </x:c>
      <x:c r="M65" s="296" t="n">
        <x:v>0.11</x:v>
      </x:c>
      <x:c r="N65" s="233" t="n">
        <x:v>3</x:v>
      </x:c>
      <x:c r="O65" s="233" t="str">
        <x:v>DRAFT_ORDINAL_MAPPING</x:v>
      </x:c>
      <x:c r="P65" s="233" t="str">
        <x:v>VERIFIED</x:v>
      </x:c>
      <x:c r="Q65" s="235" t="str"/>
      <x:c r="R65" s="235" t="str"/>
      <x:c r="S65" s="233" t="str">
        <x:v>ILO_SCORE25</x:v>
      </x:c>
      <x:c r="T65" s="233" t="str">
        <x:v>WP140 online Annex, Table A1</x:v>
      </x:c>
      <x:c r="U65" s="235" t="str">
        <x:v>PENDING</x:v>
      </x:c>
      <x:c r="V65" s="235" t="str">
        <x:v>Codex</x:v>
      </x:c>
      <x:c r="W65" s="297" t="str">
        <x:v>KBJI–ISCO belum dipetakan; skor 0–5 adalah transformasi ordinal draft.</x:v>
      </x:c>
    </x:row>
    <x:row r="66">
      <x:c r="A66" s="293" t="str"/>
      <x:c r="B66" s="294" t="str"/>
      <x:c r="C66" s="235" t="str"/>
      <x:c r="D66" s="295" t="str">
        <x:v>2633</x:v>
      </x:c>
      <x:c r="E66" s="233" t="str">
        <x:v>Philosophers, Historians and Political Scientists</x:v>
      </x:c>
      <x:c r="F66" s="233" t="str">
        <x:v>UNRESOLVED</x:v>
      </x:c>
      <x:c r="G66" s="233"/>
      <x:c r="H66" s="233" t="str"/>
      <x:c r="I66" s="233"/>
      <x:c r="J66" s="233" t="str">
        <x:v>PENDING</x:v>
      </x:c>
      <x:c r="K66" s="233" t="str">
        <x:v>Gradient 2</x:v>
      </x:c>
      <x:c r="L66" s="296" t="n">
        <x:v>0.47</x:v>
      </x:c>
      <x:c r="M66" s="296" t="n">
        <x:v>0.06</x:v>
      </x:c>
      <x:c r="N66" s="233" t="n">
        <x:v>3</x:v>
      </x:c>
      <x:c r="O66" s="233" t="str">
        <x:v>DRAFT_ORDINAL_MAPPING</x:v>
      </x:c>
      <x:c r="P66" s="233" t="str">
        <x:v>VERIFIED</x:v>
      </x:c>
      <x:c r="Q66" s="235" t="str"/>
      <x:c r="R66" s="235" t="str"/>
      <x:c r="S66" s="233" t="str">
        <x:v>ILO_SCORE25</x:v>
      </x:c>
      <x:c r="T66" s="233" t="str">
        <x:v>WP140 online Annex, Table A1</x:v>
      </x:c>
      <x:c r="U66" s="235" t="str">
        <x:v>PENDING</x:v>
      </x:c>
      <x:c r="V66" s="235" t="str">
        <x:v>Codex</x:v>
      </x:c>
      <x:c r="W66" s="297" t="str">
        <x:v>KBJI–ISCO belum dipetakan; skor 0–5 adalah transformasi ordinal draft.</x:v>
      </x:c>
    </x:row>
    <x:row r="67">
      <x:c r="A67" s="293" t="str"/>
      <x:c r="B67" s="294" t="str"/>
      <x:c r="C67" s="235" t="str"/>
      <x:c r="D67" s="295" t="str">
        <x:v>2656</x:v>
      </x:c>
      <x:c r="E67" s="233" t="str">
        <x:v>Announcers on Radio, Television and Other Media</x:v>
      </x:c>
      <x:c r="F67" s="233" t="str">
        <x:v>UNRESOLVED</x:v>
      </x:c>
      <x:c r="G67" s="233"/>
      <x:c r="H67" s="233" t="str"/>
      <x:c r="I67" s="233"/>
      <x:c r="J67" s="233" t="str">
        <x:v>PENDING</x:v>
      </x:c>
      <x:c r="K67" s="233" t="str">
        <x:v>Gradient 2</x:v>
      </x:c>
      <x:c r="L67" s="296" t="n">
        <x:v>0.47</x:v>
      </x:c>
      <x:c r="M67" s="296" t="n">
        <x:v>0.12</x:v>
      </x:c>
      <x:c r="N67" s="233" t="n">
        <x:v>3</x:v>
      </x:c>
      <x:c r="O67" s="233" t="str">
        <x:v>DRAFT_ORDINAL_MAPPING</x:v>
      </x:c>
      <x:c r="P67" s="233" t="str">
        <x:v>VERIFIED</x:v>
      </x:c>
      <x:c r="Q67" s="235" t="str"/>
      <x:c r="R67" s="235" t="str"/>
      <x:c r="S67" s="233" t="str">
        <x:v>ILO_SCORE25</x:v>
      </x:c>
      <x:c r="T67" s="233" t="str">
        <x:v>WP140 online Annex, Table A1</x:v>
      </x:c>
      <x:c r="U67" s="235" t="str">
        <x:v>PENDING</x:v>
      </x:c>
      <x:c r="V67" s="235" t="str">
        <x:v>Codex</x:v>
      </x:c>
      <x:c r="W67" s="297" t="str">
        <x:v>KBJI–ISCO belum dipetakan; skor 0–5 adalah transformasi ordinal draft.</x:v>
      </x:c>
    </x:row>
    <x:row r="68">
      <x:c r="A68" s="293" t="str"/>
      <x:c r="B68" s="294" t="str"/>
      <x:c r="C68" s="235" t="str"/>
      <x:c r="D68" s="295" t="str">
        <x:v>3512</x:v>
      </x:c>
      <x:c r="E68" s="233" t="str">
        <x:v>Information and Communications Technology User Support Technicians</x:v>
      </x:c>
      <x:c r="F68" s="233" t="str">
        <x:v>UNRESOLVED</x:v>
      </x:c>
      <x:c r="G68" s="233"/>
      <x:c r="H68" s="233" t="str"/>
      <x:c r="I68" s="233"/>
      <x:c r="J68" s="233" t="str">
        <x:v>PENDING</x:v>
      </x:c>
      <x:c r="K68" s="233" t="str">
        <x:v>Gradient 2</x:v>
      </x:c>
      <x:c r="L68" s="296" t="n">
        <x:v>0.47</x:v>
      </x:c>
      <x:c r="M68" s="296" t="n">
        <x:v>0.19</x:v>
      </x:c>
      <x:c r="N68" s="233" t="n">
        <x:v>3</x:v>
      </x:c>
      <x:c r="O68" s="233" t="str">
        <x:v>DRAFT_ORDINAL_MAPPING</x:v>
      </x:c>
      <x:c r="P68" s="233" t="str">
        <x:v>VERIFIED</x:v>
      </x:c>
      <x:c r="Q68" s="235" t="str"/>
      <x:c r="R68" s="235" t="str"/>
      <x:c r="S68" s="233" t="str">
        <x:v>ILO_SCORE25</x:v>
      </x:c>
      <x:c r="T68" s="233" t="str">
        <x:v>WP140 online Annex, Table A1</x:v>
      </x:c>
      <x:c r="U68" s="235" t="str">
        <x:v>PENDING</x:v>
      </x:c>
      <x:c r="V68" s="235" t="str">
        <x:v>Codex</x:v>
      </x:c>
      <x:c r="W68" s="297" t="str">
        <x:v>KBJI–ISCO belum dipetakan; skor 0–5 adalah transformasi ordinal draft.</x:v>
      </x:c>
    </x:row>
    <x:row r="69">
      <x:c r="A69" s="293" t="str"/>
      <x:c r="B69" s="294" t="str"/>
      <x:c r="C69" s="235" t="str"/>
      <x:c r="D69" s="295" t="str">
        <x:v>2421</x:v>
      </x:c>
      <x:c r="E69" s="233" t="str">
        <x:v>Management and Organization Analysts</x:v>
      </x:c>
      <x:c r="F69" s="233" t="str">
        <x:v>UNRESOLVED</x:v>
      </x:c>
      <x:c r="G69" s="233"/>
      <x:c r="H69" s="233" t="str"/>
      <x:c r="I69" s="233"/>
      <x:c r="J69" s="233" t="str">
        <x:v>PENDING</x:v>
      </x:c>
      <x:c r="K69" s="233" t="str">
        <x:v>Gradient 2</x:v>
      </x:c>
      <x:c r="L69" s="296" t="n">
        <x:v>0.46</x:v>
      </x:c>
      <x:c r="M69" s="296" t="n">
        <x:v>0.1</x:v>
      </x:c>
      <x:c r="N69" s="233" t="n">
        <x:v>3</x:v>
      </x:c>
      <x:c r="O69" s="233" t="str">
        <x:v>DRAFT_ORDINAL_MAPPING</x:v>
      </x:c>
      <x:c r="P69" s="233" t="str">
        <x:v>VERIFIED</x:v>
      </x:c>
      <x:c r="Q69" s="235" t="str"/>
      <x:c r="R69" s="235" t="str"/>
      <x:c r="S69" s="233" t="str">
        <x:v>ILO_SCORE25</x:v>
      </x:c>
      <x:c r="T69" s="233" t="str">
        <x:v>WP140 online Annex, Table A1</x:v>
      </x:c>
      <x:c r="U69" s="235" t="str">
        <x:v>PENDING</x:v>
      </x:c>
      <x:c r="V69" s="235" t="str">
        <x:v>Codex</x:v>
      </x:c>
      <x:c r="W69" s="297" t="str">
        <x:v>KBJI–ISCO belum dipetakan; skor 0–5 adalah transformasi ordinal draft.</x:v>
      </x:c>
    </x:row>
    <x:row r="70">
      <x:c r="A70" s="293" t="str"/>
      <x:c r="B70" s="294" t="str"/>
      <x:c r="C70" s="235" t="str"/>
      <x:c r="D70" s="295" t="str">
        <x:v>4411</x:v>
      </x:c>
      <x:c r="E70" s="233" t="str">
        <x:v>Library Clerks</x:v>
      </x:c>
      <x:c r="F70" s="233" t="str">
        <x:v>UNRESOLVED</x:v>
      </x:c>
      <x:c r="G70" s="233"/>
      <x:c r="H70" s="233" t="str"/>
      <x:c r="I70" s="233"/>
      <x:c r="J70" s="233" t="str">
        <x:v>PENDING</x:v>
      </x:c>
      <x:c r="K70" s="233" t="str">
        <x:v>Gradient 2</x:v>
      </x:c>
      <x:c r="L70" s="296" t="n">
        <x:v>0.46</x:v>
      </x:c>
      <x:c r="M70" s="296" t="n">
        <x:v>0.18</x:v>
      </x:c>
      <x:c r="N70" s="233" t="n">
        <x:v>3</x:v>
      </x:c>
      <x:c r="O70" s="233" t="str">
        <x:v>DRAFT_ORDINAL_MAPPING</x:v>
      </x:c>
      <x:c r="P70" s="233" t="str">
        <x:v>VERIFIED</x:v>
      </x:c>
      <x:c r="Q70" s="235" t="str"/>
      <x:c r="R70" s="235" t="str"/>
      <x:c r="S70" s="233" t="str">
        <x:v>ILO_SCORE25</x:v>
      </x:c>
      <x:c r="T70" s="233" t="str">
        <x:v>WP140 online Annex, Table A1</x:v>
      </x:c>
      <x:c r="U70" s="235" t="str">
        <x:v>PENDING</x:v>
      </x:c>
      <x:c r="V70" s="235" t="str">
        <x:v>Codex</x:v>
      </x:c>
      <x:c r="W70" s="297" t="str">
        <x:v>KBJI–ISCO belum dipetakan; skor 0–5 adalah transformasi ordinal draft.</x:v>
      </x:c>
    </x:row>
    <x:row r="71">
      <x:c r="A71" s="293" t="str"/>
      <x:c r="B71" s="294" t="str"/>
      <x:c r="C71" s="235" t="str"/>
      <x:c r="D71" s="295" t="str">
        <x:v>5243</x:v>
      </x:c>
      <x:c r="E71" s="233" t="str">
        <x:v>Door-to-door Salespersons</x:v>
      </x:c>
      <x:c r="F71" s="233" t="str">
        <x:v>UNRESOLVED</x:v>
      </x:c>
      <x:c r="G71" s="233"/>
      <x:c r="H71" s="233" t="str"/>
      <x:c r="I71" s="233"/>
      <x:c r="J71" s="233" t="str">
        <x:v>PENDING</x:v>
      </x:c>
      <x:c r="K71" s="233" t="str">
        <x:v>Gradient 2</x:v>
      </x:c>
      <x:c r="L71" s="296" t="n">
        <x:v>0.46</x:v>
      </x:c>
      <x:c r="M71" s="296" t="n">
        <x:v>0.18</x:v>
      </x:c>
      <x:c r="N71" s="233" t="n">
        <x:v>3</x:v>
      </x:c>
      <x:c r="O71" s="233" t="str">
        <x:v>DRAFT_ORDINAL_MAPPING</x:v>
      </x:c>
      <x:c r="P71" s="233" t="str">
        <x:v>VERIFIED</x:v>
      </x:c>
      <x:c r="Q71" s="235" t="str"/>
      <x:c r="R71" s="235" t="str"/>
      <x:c r="S71" s="233" t="str">
        <x:v>ILO_SCORE25</x:v>
      </x:c>
      <x:c r="T71" s="233" t="str">
        <x:v>WP140 online Annex, Table A1</x:v>
      </x:c>
      <x:c r="U71" s="235" t="str">
        <x:v>PENDING</x:v>
      </x:c>
      <x:c r="V71" s="235" t="str">
        <x:v>Codex</x:v>
      </x:c>
      <x:c r="W71" s="297" t="str">
        <x:v>KBJI–ISCO belum dipetakan; skor 0–5 adalah transformasi ordinal draft.</x:v>
      </x:c>
    </x:row>
    <x:row r="72">
      <x:c r="A72" s="293" t="str"/>
      <x:c r="B72" s="294" t="str"/>
      <x:c r="C72" s="235" t="str"/>
      <x:c r="D72" s="295" t="str">
        <x:v>2423</x:v>
      </x:c>
      <x:c r="E72" s="233" t="str">
        <x:v>Personnel and Careers Professionals</x:v>
      </x:c>
      <x:c r="F72" s="233" t="str">
        <x:v>UNRESOLVED</x:v>
      </x:c>
      <x:c r="G72" s="233"/>
      <x:c r="H72" s="233" t="str"/>
      <x:c r="I72" s="233"/>
      <x:c r="J72" s="233" t="str">
        <x:v>PENDING</x:v>
      </x:c>
      <x:c r="K72" s="233" t="str">
        <x:v>Gradient 2</x:v>
      </x:c>
      <x:c r="L72" s="296" t="n">
        <x:v>0.45</x:v>
      </x:c>
      <x:c r="M72" s="296" t="n">
        <x:v>0.07</x:v>
      </x:c>
      <x:c r="N72" s="233" t="n">
        <x:v>3</x:v>
      </x:c>
      <x:c r="O72" s="233" t="str">
        <x:v>DRAFT_ORDINAL_MAPPING</x:v>
      </x:c>
      <x:c r="P72" s="233" t="str">
        <x:v>VERIFIED</x:v>
      </x:c>
      <x:c r="Q72" s="235" t="str"/>
      <x:c r="R72" s="235" t="str"/>
      <x:c r="S72" s="233" t="str">
        <x:v>ILO_SCORE25</x:v>
      </x:c>
      <x:c r="T72" s="233" t="str">
        <x:v>WP140 online Annex, Table A1</x:v>
      </x:c>
      <x:c r="U72" s="235" t="str">
        <x:v>PENDING</x:v>
      </x:c>
      <x:c r="V72" s="235" t="str">
        <x:v>Codex</x:v>
      </x:c>
      <x:c r="W72" s="297" t="str">
        <x:v>KBJI–ISCO belum dipetakan; skor 0–5 adalah transformasi ordinal draft.</x:v>
      </x:c>
    </x:row>
    <x:row r="73">
      <x:c r="A73" s="293" t="str"/>
      <x:c r="B73" s="294" t="str"/>
      <x:c r="C73" s="235" t="str"/>
      <x:c r="D73" s="295" t="str">
        <x:v>3315</x:v>
      </x:c>
      <x:c r="E73" s="233" t="str">
        <x:v>Valuers and Loss Assessors</x:v>
      </x:c>
      <x:c r="F73" s="233" t="str">
        <x:v>UNRESOLVED</x:v>
      </x:c>
      <x:c r="G73" s="233"/>
      <x:c r="H73" s="233" t="str"/>
      <x:c r="I73" s="233"/>
      <x:c r="J73" s="233" t="str">
        <x:v>PENDING</x:v>
      </x:c>
      <x:c r="K73" s="233" t="str">
        <x:v>Gradient 2</x:v>
      </x:c>
      <x:c r="L73" s="296" t="n">
        <x:v>0.45</x:v>
      </x:c>
      <x:c r="M73" s="296" t="n">
        <x:v>0.19</x:v>
      </x:c>
      <x:c r="N73" s="233" t="n">
        <x:v>3</x:v>
      </x:c>
      <x:c r="O73" s="233" t="str">
        <x:v>DRAFT_ORDINAL_MAPPING</x:v>
      </x:c>
      <x:c r="P73" s="233" t="str">
        <x:v>VERIFIED</x:v>
      </x:c>
      <x:c r="Q73" s="235" t="str"/>
      <x:c r="R73" s="235" t="str"/>
      <x:c r="S73" s="233" t="str">
        <x:v>ILO_SCORE25</x:v>
      </x:c>
      <x:c r="T73" s="233" t="str">
        <x:v>WP140 online Annex, Table A1</x:v>
      </x:c>
      <x:c r="U73" s="235" t="str">
        <x:v>PENDING</x:v>
      </x:c>
      <x:c r="V73" s="235" t="str">
        <x:v>Codex</x:v>
      </x:c>
      <x:c r="W73" s="297" t="str">
        <x:v>KBJI–ISCO belum dipetakan; skor 0–5 adalah transformasi ordinal draft.</x:v>
      </x:c>
    </x:row>
    <x:row r="74">
      <x:c r="A74" s="293" t="str"/>
      <x:c r="B74" s="294" t="str"/>
      <x:c r="C74" s="235" t="str"/>
      <x:c r="D74" s="295" t="str">
        <x:v>3353</x:v>
      </x:c>
      <x:c r="E74" s="233" t="str">
        <x:v>Government Social Benefits Officials</x:v>
      </x:c>
      <x:c r="F74" s="233" t="str">
        <x:v>UNRESOLVED</x:v>
      </x:c>
      <x:c r="G74" s="233"/>
      <x:c r="H74" s="233" t="str"/>
      <x:c r="I74" s="233"/>
      <x:c r="J74" s="233" t="str">
        <x:v>PENDING</x:v>
      </x:c>
      <x:c r="K74" s="233" t="str">
        <x:v>Gradient 2</x:v>
      </x:c>
      <x:c r="L74" s="296" t="n">
        <x:v>0.45</x:v>
      </x:c>
      <x:c r="M74" s="296" t="n">
        <x:v>0.07</x:v>
      </x:c>
      <x:c r="N74" s="233" t="n">
        <x:v>3</x:v>
      </x:c>
      <x:c r="O74" s="233" t="str">
        <x:v>DRAFT_ORDINAL_MAPPING</x:v>
      </x:c>
      <x:c r="P74" s="233" t="str">
        <x:v>VERIFIED</x:v>
      </x:c>
      <x:c r="Q74" s="235" t="str"/>
      <x:c r="R74" s="235" t="str"/>
      <x:c r="S74" s="233" t="str">
        <x:v>ILO_SCORE25</x:v>
      </x:c>
      <x:c r="T74" s="233" t="str">
        <x:v>WP140 online Annex, Table A1</x:v>
      </x:c>
      <x:c r="U74" s="235" t="str">
        <x:v>PENDING</x:v>
      </x:c>
      <x:c r="V74" s="235" t="str">
        <x:v>Codex</x:v>
      </x:c>
      <x:c r="W74" s="297" t="str">
        <x:v>KBJI–ISCO belum dipetakan; skor 0–5 adalah transformasi ordinal draft.</x:v>
      </x:c>
    </x:row>
    <x:row r="75">
      <x:c r="A75" s="293" t="str"/>
      <x:c r="B75" s="294" t="str"/>
      <x:c r="C75" s="235" t="str"/>
      <x:c r="D75" s="295" t="str">
        <x:v>4212</x:v>
      </x:c>
      <x:c r="E75" s="233" t="str">
        <x:v>Bookmakers, Croupiers and Related Gaming Workers</x:v>
      </x:c>
      <x:c r="F75" s="233" t="str">
        <x:v>UNRESOLVED</x:v>
      </x:c>
      <x:c r="G75" s="233"/>
      <x:c r="H75" s="233" t="str"/>
      <x:c r="I75" s="233"/>
      <x:c r="J75" s="233" t="str">
        <x:v>PENDING</x:v>
      </x:c>
      <x:c r="K75" s="233" t="str">
        <x:v>Gradient 2</x:v>
      </x:c>
      <x:c r="L75" s="296" t="n">
        <x:v>0.45</x:v>
      </x:c>
      <x:c r="M75" s="296" t="n">
        <x:v>0.19</x:v>
      </x:c>
      <x:c r="N75" s="233" t="n">
        <x:v>3</x:v>
      </x:c>
      <x:c r="O75" s="233" t="str">
        <x:v>DRAFT_ORDINAL_MAPPING</x:v>
      </x:c>
      <x:c r="P75" s="233" t="str">
        <x:v>VERIFIED</x:v>
      </x:c>
      <x:c r="Q75" s="235" t="str"/>
      <x:c r="R75" s="235" t="str"/>
      <x:c r="S75" s="233" t="str">
        <x:v>ILO_SCORE25</x:v>
      </x:c>
      <x:c r="T75" s="233" t="str">
        <x:v>WP140 online Annex, Table A1</x:v>
      </x:c>
      <x:c r="U75" s="235" t="str">
        <x:v>PENDING</x:v>
      </x:c>
      <x:c r="V75" s="235" t="str">
        <x:v>Codex</x:v>
      </x:c>
      <x:c r="W75" s="297" t="str">
        <x:v>KBJI–ISCO belum dipetakan; skor 0–5 adalah transformasi ordinal draft.</x:v>
      </x:c>
    </x:row>
    <x:row r="76">
      <x:c r="A76" s="293" t="str"/>
      <x:c r="B76" s="294" t="str"/>
      <x:c r="C76" s="235" t="str"/>
      <x:c r="D76" s="295" t="str">
        <x:v>1330</x:v>
      </x:c>
      <x:c r="E76" s="233" t="str">
        <x:v>Information and Communications Technology Service Managers</x:v>
      </x:c>
      <x:c r="F76" s="233" t="str">
        <x:v>UNRESOLVED</x:v>
      </x:c>
      <x:c r="G76" s="233"/>
      <x:c r="H76" s="233" t="str"/>
      <x:c r="I76" s="233"/>
      <x:c r="J76" s="233" t="str">
        <x:v>PENDING</x:v>
      </x:c>
      <x:c r="K76" s="233" t="str">
        <x:v>Gradient 2</x:v>
      </x:c>
      <x:c r="L76" s="296" t="n">
        <x:v>0.44</x:v>
      </x:c>
      <x:c r="M76" s="296" t="n">
        <x:v>0.07</x:v>
      </x:c>
      <x:c r="N76" s="233" t="n">
        <x:v>3</x:v>
      </x:c>
      <x:c r="O76" s="233" t="str">
        <x:v>DRAFT_ORDINAL_MAPPING</x:v>
      </x:c>
      <x:c r="P76" s="233" t="str">
        <x:v>VERIFIED</x:v>
      </x:c>
      <x:c r="Q76" s="235" t="str"/>
      <x:c r="R76" s="235" t="str"/>
      <x:c r="S76" s="233" t="str">
        <x:v>ILO_SCORE25</x:v>
      </x:c>
      <x:c r="T76" s="233" t="str">
        <x:v>WP140 online Annex, Table A1</x:v>
      </x:c>
      <x:c r="U76" s="235" t="str">
        <x:v>PENDING</x:v>
      </x:c>
      <x:c r="V76" s="235" t="str">
        <x:v>Codex</x:v>
      </x:c>
      <x:c r="W76" s="297" t="str">
        <x:v>KBJI–ISCO belum dipetakan; skor 0–5 adalah transformasi ordinal draft.</x:v>
      </x:c>
    </x:row>
    <x:row r="77">
      <x:c r="A77" s="293" t="str"/>
      <x:c r="B77" s="294" t="str"/>
      <x:c r="C77" s="235" t="str"/>
      <x:c r="D77" s="295" t="str">
        <x:v>1420</x:v>
      </x:c>
      <x:c r="E77" s="233" t="str">
        <x:v>Retail and Wholesale Trade Managers</x:v>
      </x:c>
      <x:c r="F77" s="233" t="str">
        <x:v>UNRESOLVED</x:v>
      </x:c>
      <x:c r="G77" s="233"/>
      <x:c r="H77" s="233" t="str"/>
      <x:c r="I77" s="233"/>
      <x:c r="J77" s="233" t="str">
        <x:v>PENDING</x:v>
      </x:c>
      <x:c r="K77" s="233" t="str">
        <x:v>Gradient 2</x:v>
      </x:c>
      <x:c r="L77" s="296" t="n">
        <x:v>0.44</x:v>
      </x:c>
      <x:c r="M77" s="296" t="n">
        <x:v>0.15</x:v>
      </x:c>
      <x:c r="N77" s="233" t="n">
        <x:v>3</x:v>
      </x:c>
      <x:c r="O77" s="233" t="str">
        <x:v>DRAFT_ORDINAL_MAPPING</x:v>
      </x:c>
      <x:c r="P77" s="233" t="str">
        <x:v>VERIFIED</x:v>
      </x:c>
      <x:c r="Q77" s="235" t="str"/>
      <x:c r="R77" s="235" t="str"/>
      <x:c r="S77" s="233" t="str">
        <x:v>ILO_SCORE25</x:v>
      </x:c>
      <x:c r="T77" s="233" t="str">
        <x:v>WP140 online Annex, Table A1</x:v>
      </x:c>
      <x:c r="U77" s="235" t="str">
        <x:v>PENDING</x:v>
      </x:c>
      <x:c r="V77" s="235" t="str">
        <x:v>Codex</x:v>
      </x:c>
      <x:c r="W77" s="297" t="str">
        <x:v>KBJI–ISCO belum dipetakan; skor 0–5 adalah transformasi ordinal draft.</x:v>
      </x:c>
    </x:row>
    <x:row r="78">
      <x:c r="A78" s="293" t="str"/>
      <x:c r="B78" s="294" t="str"/>
      <x:c r="C78" s="235" t="str"/>
      <x:c r="D78" s="295" t="str">
        <x:v>2165</x:v>
      </x:c>
      <x:c r="E78" s="233" t="str">
        <x:v>Cartographers and Surveyors</x:v>
      </x:c>
      <x:c r="F78" s="233" t="str">
        <x:v>UNRESOLVED</x:v>
      </x:c>
      <x:c r="G78" s="233"/>
      <x:c r="H78" s="233" t="str"/>
      <x:c r="I78" s="233"/>
      <x:c r="J78" s="233" t="str">
        <x:v>PENDING</x:v>
      </x:c>
      <x:c r="K78" s="233" t="str">
        <x:v>Gradient 2</x:v>
      </x:c>
      <x:c r="L78" s="296" t="n">
        <x:v>0.44</x:v>
      </x:c>
      <x:c r="M78" s="296" t="n">
        <x:v>0.12</x:v>
      </x:c>
      <x:c r="N78" s="233" t="n">
        <x:v>3</x:v>
      </x:c>
      <x:c r="O78" s="233" t="str">
        <x:v>DRAFT_ORDINAL_MAPPING</x:v>
      </x:c>
      <x:c r="P78" s="233" t="str">
        <x:v>VERIFIED</x:v>
      </x:c>
      <x:c r="Q78" s="235" t="str"/>
      <x:c r="R78" s="235" t="str"/>
      <x:c r="S78" s="233" t="str">
        <x:v>ILO_SCORE25</x:v>
      </x:c>
      <x:c r="T78" s="233" t="str">
        <x:v>WP140 online Annex, Table A1</x:v>
      </x:c>
      <x:c r="U78" s="235" t="str">
        <x:v>PENDING</x:v>
      </x:c>
      <x:c r="V78" s="235" t="str">
        <x:v>Codex</x:v>
      </x:c>
      <x:c r="W78" s="297" t="str">
        <x:v>KBJI–ISCO belum dipetakan; skor 0–5 adalah transformasi ordinal draft.</x:v>
      </x:c>
    </x:row>
    <x:row r="79">
      <x:c r="A79" s="293" t="str"/>
      <x:c r="B79" s="294" t="str"/>
      <x:c r="C79" s="235" t="str"/>
      <x:c r="D79" s="295" t="str">
        <x:v>3324</x:v>
      </x:c>
      <x:c r="E79" s="233" t="str">
        <x:v>Trade Brokers</x:v>
      </x:c>
      <x:c r="F79" s="233" t="str">
        <x:v>UNRESOLVED</x:v>
      </x:c>
      <x:c r="G79" s="233"/>
      <x:c r="H79" s="233" t="str"/>
      <x:c r="I79" s="233"/>
      <x:c r="J79" s="233" t="str">
        <x:v>PENDING</x:v>
      </x:c>
      <x:c r="K79" s="233" t="str">
        <x:v>Gradient 2</x:v>
      </x:c>
      <x:c r="L79" s="296" t="n">
        <x:v>0.44</x:v>
      </x:c>
      <x:c r="M79" s="296" t="n">
        <x:v>0.1</x:v>
      </x:c>
      <x:c r="N79" s="233" t="n">
        <x:v>3</x:v>
      </x:c>
      <x:c r="O79" s="233" t="str">
        <x:v>DRAFT_ORDINAL_MAPPING</x:v>
      </x:c>
      <x:c r="P79" s="233" t="str">
        <x:v>VERIFIED</x:v>
      </x:c>
      <x:c r="Q79" s="235" t="str"/>
      <x:c r="R79" s="235" t="str"/>
      <x:c r="S79" s="233" t="str">
        <x:v>ILO_SCORE25</x:v>
      </x:c>
      <x:c r="T79" s="233" t="str">
        <x:v>WP140 online Annex, Table A1</x:v>
      </x:c>
      <x:c r="U79" s="235" t="str">
        <x:v>PENDING</x:v>
      </x:c>
      <x:c r="V79" s="235" t="str">
        <x:v>Codex</x:v>
      </x:c>
      <x:c r="W79" s="297" t="str">
        <x:v>KBJI–ISCO belum dipetakan; skor 0–5 adalah transformasi ordinal draft.</x:v>
      </x:c>
    </x:row>
    <x:row r="80">
      <x:c r="A80" s="293" t="str"/>
      <x:c r="B80" s="294" t="str"/>
      <x:c r="C80" s="235" t="str"/>
      <x:c r="D80" s="295" t="str">
        <x:v>3339</x:v>
      </x:c>
      <x:c r="E80" s="233" t="str">
        <x:v>Business Services Agents Not Elsewhere Classified</x:v>
      </x:c>
      <x:c r="F80" s="233" t="str">
        <x:v>UNRESOLVED</x:v>
      </x:c>
      <x:c r="G80" s="233"/>
      <x:c r="H80" s="233" t="str"/>
      <x:c r="I80" s="233"/>
      <x:c r="J80" s="233" t="str">
        <x:v>PENDING</x:v>
      </x:c>
      <x:c r="K80" s="233" t="str">
        <x:v>Gradient 2</x:v>
      </x:c>
      <x:c r="L80" s="296" t="n">
        <x:v>0.44</x:v>
      </x:c>
      <x:c r="M80" s="296" t="n">
        <x:v>0.12</x:v>
      </x:c>
      <x:c r="N80" s="233" t="n">
        <x:v>3</x:v>
      </x:c>
      <x:c r="O80" s="233" t="str">
        <x:v>DRAFT_ORDINAL_MAPPING</x:v>
      </x:c>
      <x:c r="P80" s="233" t="str">
        <x:v>VERIFIED</x:v>
      </x:c>
      <x:c r="Q80" s="235" t="str"/>
      <x:c r="R80" s="235" t="str"/>
      <x:c r="S80" s="233" t="str">
        <x:v>ILO_SCORE25</x:v>
      </x:c>
      <x:c r="T80" s="233" t="str">
        <x:v>WP140 online Annex, Table A1</x:v>
      </x:c>
      <x:c r="U80" s="235" t="str">
        <x:v>PENDING</x:v>
      </x:c>
      <x:c r="V80" s="235" t="str">
        <x:v>Codex</x:v>
      </x:c>
      <x:c r="W80" s="297" t="str">
        <x:v>KBJI–ISCO belum dipetakan; skor 0–5 adalah transformasi ordinal draft.</x:v>
      </x:c>
    </x:row>
    <x:row r="81">
      <x:c r="A81" s="293" t="str"/>
      <x:c r="B81" s="294" t="str"/>
      <x:c r="C81" s="235" t="str"/>
      <x:c r="D81" s="295" t="str">
        <x:v>4322</x:v>
      </x:c>
      <x:c r="E81" s="233" t="str">
        <x:v>Production Clerks</x:v>
      </x:c>
      <x:c r="F81" s="233" t="str">
        <x:v>UNRESOLVED</x:v>
      </x:c>
      <x:c r="G81" s="233"/>
      <x:c r="H81" s="233" t="str"/>
      <x:c r="I81" s="233"/>
      <x:c r="J81" s="233" t="str">
        <x:v>PENDING</x:v>
      </x:c>
      <x:c r="K81" s="233" t="str">
        <x:v>Gradient 2</x:v>
      </x:c>
      <x:c r="L81" s="296" t="n">
        <x:v>0.44</x:v>
      </x:c>
      <x:c r="M81" s="296" t="n">
        <x:v>0.06</x:v>
      </x:c>
      <x:c r="N81" s="233" t="n">
        <x:v>3</x:v>
      </x:c>
      <x:c r="O81" s="233" t="str">
        <x:v>DRAFT_ORDINAL_MAPPING</x:v>
      </x:c>
      <x:c r="P81" s="233" t="str">
        <x:v>VERIFIED</x:v>
      </x:c>
      <x:c r="Q81" s="235" t="str"/>
      <x:c r="R81" s="235" t="str"/>
      <x:c r="S81" s="233" t="str">
        <x:v>ILO_SCORE25</x:v>
      </x:c>
      <x:c r="T81" s="233" t="str">
        <x:v>WP140 online Annex, Table A1</x:v>
      </x:c>
      <x:c r="U81" s="235" t="str">
        <x:v>PENDING</x:v>
      </x:c>
      <x:c r="V81" s="235" t="str">
        <x:v>Codex</x:v>
      </x:c>
      <x:c r="W81" s="297" t="str">
        <x:v>KBJI–ISCO belum dipetakan; skor 0–5 adalah transformasi ordinal draft.</x:v>
      </x:c>
    </x:row>
    <x:row r="82">
      <x:c r="A82" s="293" t="str"/>
      <x:c r="B82" s="294" t="str"/>
      <x:c r="C82" s="235" t="str"/>
      <x:c r="D82" s="295" t="str">
        <x:v>2432</x:v>
      </x:c>
      <x:c r="E82" s="233" t="str">
        <x:v>Public Relations Professionals</x:v>
      </x:c>
      <x:c r="F82" s="233" t="str">
        <x:v>UNRESOLVED</x:v>
      </x:c>
      <x:c r="G82" s="233"/>
      <x:c r="H82" s="233" t="str"/>
      <x:c r="I82" s="233"/>
      <x:c r="J82" s="233" t="str">
        <x:v>PENDING</x:v>
      </x:c>
      <x:c r="K82" s="233" t="str">
        <x:v>Gradient 2</x:v>
      </x:c>
      <x:c r="L82" s="296" t="n">
        <x:v>0.43</x:v>
      </x:c>
      <x:c r="M82" s="296" t="n">
        <x:v>0.09</x:v>
      </x:c>
      <x:c r="N82" s="233" t="n">
        <x:v>3</x:v>
      </x:c>
      <x:c r="O82" s="233" t="str">
        <x:v>DRAFT_ORDINAL_MAPPING</x:v>
      </x:c>
      <x:c r="P82" s="233" t="str">
        <x:v>VERIFIED</x:v>
      </x:c>
      <x:c r="Q82" s="235" t="str"/>
      <x:c r="R82" s="235" t="str"/>
      <x:c r="S82" s="233" t="str">
        <x:v>ILO_SCORE25</x:v>
      </x:c>
      <x:c r="T82" s="233" t="str">
        <x:v>WP140 online Annex, Table A1</x:v>
      </x:c>
      <x:c r="U82" s="235" t="str">
        <x:v>PENDING</x:v>
      </x:c>
      <x:c r="V82" s="235" t="str">
        <x:v>Codex</x:v>
      </x:c>
      <x:c r="W82" s="297" t="str">
        <x:v>KBJI–ISCO belum dipetakan; skor 0–5 adalah transformasi ordinal draft.</x:v>
      </x:c>
    </x:row>
    <x:row r="83">
      <x:c r="A83" s="293" t="str"/>
      <x:c r="B83" s="294" t="str"/>
      <x:c r="C83" s="235" t="str"/>
      <x:c r="D83" s="295" t="str">
        <x:v>3341</x:v>
      </x:c>
      <x:c r="E83" s="233" t="str">
        <x:v>Office Supervisors</x:v>
      </x:c>
      <x:c r="F83" s="233" t="str">
        <x:v>UNRESOLVED</x:v>
      </x:c>
      <x:c r="G83" s="233"/>
      <x:c r="H83" s="233" t="str"/>
      <x:c r="I83" s="233"/>
      <x:c r="J83" s="233" t="str">
        <x:v>PENDING</x:v>
      </x:c>
      <x:c r="K83" s="233" t="str">
        <x:v>Gradient 2</x:v>
      </x:c>
      <x:c r="L83" s="296" t="n">
        <x:v>0.43</x:v>
      </x:c>
      <x:c r="M83" s="296" t="n">
        <x:v>0.11</x:v>
      </x:c>
      <x:c r="N83" s="233" t="n">
        <x:v>3</x:v>
      </x:c>
      <x:c r="O83" s="233" t="str">
        <x:v>DRAFT_ORDINAL_MAPPING</x:v>
      </x:c>
      <x:c r="P83" s="233" t="str">
        <x:v>VERIFIED</x:v>
      </x:c>
      <x:c r="Q83" s="235" t="str"/>
      <x:c r="R83" s="235" t="str"/>
      <x:c r="S83" s="233" t="str">
        <x:v>ILO_SCORE25</x:v>
      </x:c>
      <x:c r="T83" s="233" t="str">
        <x:v>WP140 online Annex, Table A1</x:v>
      </x:c>
      <x:c r="U83" s="235" t="str">
        <x:v>PENDING</x:v>
      </x:c>
      <x:c r="V83" s="235" t="str">
        <x:v>Codex</x:v>
      </x:c>
      <x:c r="W83" s="297" t="str">
        <x:v>KBJI–ISCO belum dipetakan; skor 0–5 adalah transformasi ordinal draft.</x:v>
      </x:c>
    </x:row>
    <x:row r="84">
      <x:c r="A84" s="293" t="str"/>
      <x:c r="B84" s="294" t="str"/>
      <x:c r="C84" s="235" t="str"/>
      <x:c r="D84" s="295" t="str">
        <x:v>3354</x:v>
      </x:c>
      <x:c r="E84" s="233" t="str">
        <x:v>Government Licensing Officials</x:v>
      </x:c>
      <x:c r="F84" s="233" t="str">
        <x:v>UNRESOLVED</x:v>
      </x:c>
      <x:c r="G84" s="233"/>
      <x:c r="H84" s="233" t="str"/>
      <x:c r="I84" s="233"/>
      <x:c r="J84" s="233" t="str">
        <x:v>PENDING</x:v>
      </x:c>
      <x:c r="K84" s="233" t="str">
        <x:v>Gradient 2</x:v>
      </x:c>
      <x:c r="L84" s="296" t="n">
        <x:v>0.43</x:v>
      </x:c>
      <x:c r="M84" s="296" t="n">
        <x:v>0.07</x:v>
      </x:c>
      <x:c r="N84" s="233" t="n">
        <x:v>3</x:v>
      </x:c>
      <x:c r="O84" s="233" t="str">
        <x:v>DRAFT_ORDINAL_MAPPING</x:v>
      </x:c>
      <x:c r="P84" s="233" t="str">
        <x:v>VERIFIED</x:v>
      </x:c>
      <x:c r="Q84" s="235" t="str"/>
      <x:c r="R84" s="235" t="str"/>
      <x:c r="S84" s="233" t="str">
        <x:v>ILO_SCORE25</x:v>
      </x:c>
      <x:c r="T84" s="233" t="str">
        <x:v>WP140 online Annex, Table A1</x:v>
      </x:c>
      <x:c r="U84" s="235" t="str">
        <x:v>PENDING</x:v>
      </x:c>
      <x:c r="V84" s="235" t="str">
        <x:v>Codex</x:v>
      </x:c>
      <x:c r="W84" s="297" t="str">
        <x:v>KBJI–ISCO belum dipetakan; skor 0–5 adalah transformasi ordinal draft.</x:v>
      </x:c>
    </x:row>
    <x:row r="85">
      <x:c r="A85" s="293" t="str"/>
      <x:c r="B85" s="294" t="str"/>
      <x:c r="C85" s="235" t="str"/>
      <x:c r="D85" s="295" t="str">
        <x:v>3511</x:v>
      </x:c>
      <x:c r="E85" s="233" t="str">
        <x:v>Information and Communications Technology Operations Technicians</x:v>
      </x:c>
      <x:c r="F85" s="233" t="str">
        <x:v>UNRESOLVED</x:v>
      </x:c>
      <x:c r="G85" s="233"/>
      <x:c r="H85" s="233" t="str"/>
      <x:c r="I85" s="233"/>
      <x:c r="J85" s="233" t="str">
        <x:v>PENDING</x:v>
      </x:c>
      <x:c r="K85" s="233" t="str">
        <x:v>Gradient 2</x:v>
      </x:c>
      <x:c r="L85" s="296" t="n">
        <x:v>0.43</x:v>
      </x:c>
      <x:c r="M85" s="296" t="n">
        <x:v>0.13</x:v>
      </x:c>
      <x:c r="N85" s="233" t="n">
        <x:v>3</x:v>
      </x:c>
      <x:c r="O85" s="233" t="str">
        <x:v>DRAFT_ORDINAL_MAPPING</x:v>
      </x:c>
      <x:c r="P85" s="233" t="str">
        <x:v>VERIFIED</x:v>
      </x:c>
      <x:c r="Q85" s="235" t="str"/>
      <x:c r="R85" s="235" t="str"/>
      <x:c r="S85" s="233" t="str">
        <x:v>ILO_SCORE25</x:v>
      </x:c>
      <x:c r="T85" s="233" t="str">
        <x:v>WP140 online Annex, Table A1</x:v>
      </x:c>
      <x:c r="U85" s="235" t="str">
        <x:v>PENDING</x:v>
      </x:c>
      <x:c r="V85" s="235" t="str">
        <x:v>Codex</x:v>
      </x:c>
      <x:c r="W85" s="297" t="str">
        <x:v>KBJI–ISCO belum dipetakan; skor 0–5 adalah transformasi ordinal draft.</x:v>
      </x:c>
    </x:row>
    <x:row r="86">
      <x:c r="A86" s="293" t="str"/>
      <x:c r="B86" s="294" t="str"/>
      <x:c r="C86" s="235" t="str"/>
      <x:c r="D86" s="295" t="str">
        <x:v>3513</x:v>
      </x:c>
      <x:c r="E86" s="233" t="str">
        <x:v>Computer Network and Systems Technicians</x:v>
      </x:c>
      <x:c r="F86" s="233" t="str">
        <x:v>UNRESOLVED</x:v>
      </x:c>
      <x:c r="G86" s="233"/>
      <x:c r="H86" s="233" t="str"/>
      <x:c r="I86" s="233"/>
      <x:c r="J86" s="233" t="str">
        <x:v>PENDING</x:v>
      </x:c>
      <x:c r="K86" s="233" t="str">
        <x:v>Gradient 2</x:v>
      </x:c>
      <x:c r="L86" s="296" t="n">
        <x:v>0.43</x:v>
      </x:c>
      <x:c r="M86" s="296" t="n">
        <x:v>0.08</x:v>
      </x:c>
      <x:c r="N86" s="233" t="n">
        <x:v>3</x:v>
      </x:c>
      <x:c r="O86" s="233" t="str">
        <x:v>DRAFT_ORDINAL_MAPPING</x:v>
      </x:c>
      <x:c r="P86" s="233" t="str">
        <x:v>VERIFIED</x:v>
      </x:c>
      <x:c r="Q86" s="235" t="str"/>
      <x:c r="R86" s="235" t="str"/>
      <x:c r="S86" s="233" t="str">
        <x:v>ILO_SCORE25</x:v>
      </x:c>
      <x:c r="T86" s="233" t="str">
        <x:v>WP140 online Annex, Table A1</x:v>
      </x:c>
      <x:c r="U86" s="235" t="str">
        <x:v>PENDING</x:v>
      </x:c>
      <x:c r="V86" s="235" t="str">
        <x:v>Codex</x:v>
      </x:c>
      <x:c r="W86" s="297" t="str">
        <x:v>KBJI–ISCO belum dipetakan; skor 0–5 adalah transformasi ordinal draft.</x:v>
      </x:c>
    </x:row>
    <x:row r="87">
      <x:c r="A87" s="293" t="str"/>
      <x:c r="B87" s="294" t="str"/>
      <x:c r="C87" s="235" t="str"/>
      <x:c r="D87" s="295" t="str">
        <x:v>4214</x:v>
      </x:c>
      <x:c r="E87" s="233" t="str">
        <x:v>Debt Collectors and Related Workers</x:v>
      </x:c>
      <x:c r="F87" s="233" t="str">
        <x:v>UNRESOLVED</x:v>
      </x:c>
      <x:c r="G87" s="233"/>
      <x:c r="H87" s="233" t="str"/>
      <x:c r="I87" s="233"/>
      <x:c r="J87" s="233" t="str">
        <x:v>PENDING</x:v>
      </x:c>
      <x:c r="K87" s="233" t="str">
        <x:v>Gradient 2</x:v>
      </x:c>
      <x:c r="L87" s="296" t="n">
        <x:v>0.43</x:v>
      </x:c>
      <x:c r="M87" s="296" t="n">
        <x:v>0.07</x:v>
      </x:c>
      <x:c r="N87" s="233" t="n">
        <x:v>3</x:v>
      </x:c>
      <x:c r="O87" s="233" t="str">
        <x:v>DRAFT_ORDINAL_MAPPING</x:v>
      </x:c>
      <x:c r="P87" s="233" t="str">
        <x:v>VERIFIED</x:v>
      </x:c>
      <x:c r="Q87" s="235" t="str"/>
      <x:c r="R87" s="235" t="str"/>
      <x:c r="S87" s="233" t="str">
        <x:v>ILO_SCORE25</x:v>
      </x:c>
      <x:c r="T87" s="233" t="str">
        <x:v>WP140 online Annex, Table A1</x:v>
      </x:c>
      <x:c r="U87" s="235" t="str">
        <x:v>PENDING</x:v>
      </x:c>
      <x:c r="V87" s="235" t="str">
        <x:v>Codex</x:v>
      </x:c>
      <x:c r="W87" s="297" t="str">
        <x:v>KBJI–ISCO belum dipetakan; skor 0–5 adalah transformasi ordinal draft.</x:v>
      </x:c>
    </x:row>
    <x:row r="88">
      <x:c r="A88" s="293" t="str"/>
      <x:c r="B88" s="294" t="str"/>
      <x:c r="C88" s="235" t="str"/>
      <x:c r="D88" s="295" t="str">
        <x:v>5221</x:v>
      </x:c>
      <x:c r="E88" s="233" t="str">
        <x:v>Shopkeepers</x:v>
      </x:c>
      <x:c r="F88" s="233" t="str">
        <x:v>UNRESOLVED</x:v>
      </x:c>
      <x:c r="G88" s="233"/>
      <x:c r="H88" s="233" t="str"/>
      <x:c r="I88" s="233"/>
      <x:c r="J88" s="233" t="str">
        <x:v>PENDING</x:v>
      </x:c>
      <x:c r="K88" s="233" t="str">
        <x:v>Gradient 2</x:v>
      </x:c>
      <x:c r="L88" s="296" t="n">
        <x:v>0.43</x:v>
      </x:c>
      <x:c r="M88" s="296" t="n">
        <x:v>0.1</x:v>
      </x:c>
      <x:c r="N88" s="233" t="n">
        <x:v>3</x:v>
      </x:c>
      <x:c r="O88" s="233" t="str">
        <x:v>DRAFT_ORDINAL_MAPPING</x:v>
      </x:c>
      <x:c r="P88" s="233" t="str">
        <x:v>VERIFIED</x:v>
      </x:c>
      <x:c r="Q88" s="235" t="str"/>
      <x:c r="R88" s="235" t="str"/>
      <x:c r="S88" s="233" t="str">
        <x:v>ILO_SCORE25</x:v>
      </x:c>
      <x:c r="T88" s="233" t="str">
        <x:v>WP140 online Annex, Table A1</x:v>
      </x:c>
      <x:c r="U88" s="235" t="str">
        <x:v>PENDING</x:v>
      </x:c>
      <x:c r="V88" s="235" t="str">
        <x:v>Codex</x:v>
      </x:c>
      <x:c r="W88" s="297" t="str">
        <x:v>KBJI–ISCO belum dipetakan; skor 0–5 adalah transformasi ordinal draft.</x:v>
      </x:c>
    </x:row>
    <x:row r="89">
      <x:c r="A89" s="293" t="str"/>
      <x:c r="B89" s="294" t="str"/>
      <x:c r="C89" s="235" t="str"/>
      <x:c r="D89" s="295" t="str">
        <x:v>1219</x:v>
      </x:c>
      <x:c r="E89" s="233" t="str">
        <x:v>Business Services and Administration Managers Not Elsewhere Classified</x:v>
      </x:c>
      <x:c r="F89" s="233" t="str">
        <x:v>UNRESOLVED</x:v>
      </x:c>
      <x:c r="G89" s="233"/>
      <x:c r="H89" s="233" t="str"/>
      <x:c r="I89" s="233"/>
      <x:c r="J89" s="233" t="str">
        <x:v>PENDING</x:v>
      </x:c>
      <x:c r="K89" s="233" t="str">
        <x:v>Gradient 2</x:v>
      </x:c>
      <x:c r="L89" s="296" t="n">
        <x:v>0.42</x:v>
      </x:c>
      <x:c r="M89" s="296" t="n">
        <x:v>0.1</x:v>
      </x:c>
      <x:c r="N89" s="233" t="n">
        <x:v>3</x:v>
      </x:c>
      <x:c r="O89" s="233" t="str">
        <x:v>DRAFT_ORDINAL_MAPPING</x:v>
      </x:c>
      <x:c r="P89" s="233" t="str">
        <x:v>VERIFIED</x:v>
      </x:c>
      <x:c r="Q89" s="235" t="str"/>
      <x:c r="R89" s="235" t="str"/>
      <x:c r="S89" s="233" t="str">
        <x:v>ILO_SCORE25</x:v>
      </x:c>
      <x:c r="T89" s="233" t="str">
        <x:v>WP140 online Annex, Table A1</x:v>
      </x:c>
      <x:c r="U89" s="235" t="str">
        <x:v>PENDING</x:v>
      </x:c>
      <x:c r="V89" s="235" t="str">
        <x:v>Codex</x:v>
      </x:c>
      <x:c r="W89" s="297" t="str">
        <x:v>KBJI–ISCO belum dipetakan; skor 0–5 adalah transformasi ordinal draft.</x:v>
      </x:c>
    </x:row>
    <x:row r="90">
      <x:c r="A90" s="293" t="str"/>
      <x:c r="B90" s="294" t="str"/>
      <x:c r="C90" s="235" t="str"/>
      <x:c r="D90" s="295" t="str">
        <x:v>2152</x:v>
      </x:c>
      <x:c r="E90" s="233" t="str">
        <x:v>Electronics Engineers</x:v>
      </x:c>
      <x:c r="F90" s="233" t="str">
        <x:v>UNRESOLVED</x:v>
      </x:c>
      <x:c r="G90" s="233"/>
      <x:c r="H90" s="233" t="str"/>
      <x:c r="I90" s="233"/>
      <x:c r="J90" s="233" t="str">
        <x:v>PENDING</x:v>
      </x:c>
      <x:c r="K90" s="233" t="str">
        <x:v>Gradient 2</x:v>
      </x:c>
      <x:c r="L90" s="296" t="n">
        <x:v>0.42</x:v>
      </x:c>
      <x:c r="M90" s="296" t="n">
        <x:v>0.13</x:v>
      </x:c>
      <x:c r="N90" s="233" t="n">
        <x:v>3</x:v>
      </x:c>
      <x:c r="O90" s="233" t="str">
        <x:v>DRAFT_ORDINAL_MAPPING</x:v>
      </x:c>
      <x:c r="P90" s="233" t="str">
        <x:v>VERIFIED</x:v>
      </x:c>
      <x:c r="Q90" s="235" t="str"/>
      <x:c r="R90" s="235" t="str"/>
      <x:c r="S90" s="233" t="str">
        <x:v>ILO_SCORE25</x:v>
      </x:c>
      <x:c r="T90" s="233" t="str">
        <x:v>WP140 online Annex, Table A1</x:v>
      </x:c>
      <x:c r="U90" s="235" t="str">
        <x:v>PENDING</x:v>
      </x:c>
      <x:c r="V90" s="235" t="str">
        <x:v>Codex</x:v>
      </x:c>
      <x:c r="W90" s="297" t="str">
        <x:v>KBJI–ISCO belum dipetakan; skor 0–5 adalah transformasi ordinal draft.</x:v>
      </x:c>
    </x:row>
    <x:row r="91">
      <x:c r="A91" s="293" t="str"/>
      <x:c r="B91" s="294" t="str"/>
      <x:c r="C91" s="235" t="str"/>
      <x:c r="D91" s="295" t="str">
        <x:v>4229</x:v>
      </x:c>
      <x:c r="E91" s="233" t="str">
        <x:v>Client Information Workers Not Elsewhere Classified</x:v>
      </x:c>
      <x:c r="F91" s="233" t="str">
        <x:v>UNRESOLVED</x:v>
      </x:c>
      <x:c r="G91" s="233"/>
      <x:c r="H91" s="233" t="str"/>
      <x:c r="I91" s="233"/>
      <x:c r="J91" s="233" t="str">
        <x:v>PENDING</x:v>
      </x:c>
      <x:c r="K91" s="233" t="str">
        <x:v>Gradient 2</x:v>
      </x:c>
      <x:c r="L91" s="296" t="n">
        <x:v>0.42</x:v>
      </x:c>
      <x:c r="M91" s="296" t="n">
        <x:v>0.13</x:v>
      </x:c>
      <x:c r="N91" s="233" t="n">
        <x:v>3</x:v>
      </x:c>
      <x:c r="O91" s="233" t="str">
        <x:v>DRAFT_ORDINAL_MAPPING</x:v>
      </x:c>
      <x:c r="P91" s="233" t="str">
        <x:v>VERIFIED</x:v>
      </x:c>
      <x:c r="Q91" s="235" t="str"/>
      <x:c r="R91" s="235" t="str"/>
      <x:c r="S91" s="233" t="str">
        <x:v>ILO_SCORE25</x:v>
      </x:c>
      <x:c r="T91" s="233" t="str">
        <x:v>WP140 online Annex, Table A1</x:v>
      </x:c>
      <x:c r="U91" s="235" t="str">
        <x:v>PENDING</x:v>
      </x:c>
      <x:c r="V91" s="235" t="str">
        <x:v>Codex</x:v>
      </x:c>
      <x:c r="W91" s="297" t="str">
        <x:v>KBJI–ISCO belum dipetakan; skor 0–5 adalah transformasi ordinal draft.</x:v>
      </x:c>
    </x:row>
    <x:row r="92">
      <x:c r="A92" s="293" t="str"/>
      <x:c r="B92" s="294" t="str"/>
      <x:c r="C92" s="235" t="str"/>
      <x:c r="D92" s="295" t="str">
        <x:v>5242</x:v>
      </x:c>
      <x:c r="E92" s="233" t="str">
        <x:v>Sales Demonstrators</x:v>
      </x:c>
      <x:c r="F92" s="233" t="str">
        <x:v>UNRESOLVED</x:v>
      </x:c>
      <x:c r="G92" s="233"/>
      <x:c r="H92" s="233" t="str"/>
      <x:c r="I92" s="233"/>
      <x:c r="J92" s="233" t="str">
        <x:v>PENDING</x:v>
      </x:c>
      <x:c r="K92" s="233" t="str">
        <x:v>Gradient 2</x:v>
      </x:c>
      <x:c r="L92" s="296" t="n">
        <x:v>0.42</x:v>
      </x:c>
      <x:c r="M92" s="296" t="n">
        <x:v>0.11</x:v>
      </x:c>
      <x:c r="N92" s="233" t="n">
        <x:v>3</x:v>
      </x:c>
      <x:c r="O92" s="233" t="str">
        <x:v>DRAFT_ORDINAL_MAPPING</x:v>
      </x:c>
      <x:c r="P92" s="233" t="str">
        <x:v>VERIFIED</x:v>
      </x:c>
      <x:c r="Q92" s="235" t="str"/>
      <x:c r="R92" s="235" t="str"/>
      <x:c r="S92" s="233" t="str">
        <x:v>ILO_SCORE25</x:v>
      </x:c>
      <x:c r="T92" s="233" t="str">
        <x:v>WP140 online Annex, Table A1</x:v>
      </x:c>
      <x:c r="U92" s="235" t="str">
        <x:v>PENDING</x:v>
      </x:c>
      <x:c r="V92" s="235" t="str">
        <x:v>Codex</x:v>
      </x:c>
      <x:c r="W92" s="297" t="str">
        <x:v>KBJI–ISCO belum dipetakan; skor 0–5 adalah transformasi ordinal draft.</x:v>
      </x:c>
    </x:row>
    <x:row r="93">
      <x:c r="A93" s="293" t="str"/>
      <x:c r="B93" s="294" t="str"/>
      <x:c r="C93" s="235" t="str"/>
      <x:c r="D93" s="295" t="str">
        <x:v>1221</x:v>
      </x:c>
      <x:c r="E93" s="233" t="str">
        <x:v>Sales and Marketing Managers</x:v>
      </x:c>
      <x:c r="F93" s="233" t="str">
        <x:v>UNRESOLVED</x:v>
      </x:c>
      <x:c r="G93" s="233"/>
      <x:c r="H93" s="233" t="str"/>
      <x:c r="I93" s="233"/>
      <x:c r="J93" s="233" t="str">
        <x:v>PENDING</x:v>
      </x:c>
      <x:c r="K93" s="233" t="str">
        <x:v>Gradient 2</x:v>
      </x:c>
      <x:c r="L93" s="296" t="n">
        <x:v>0.41</x:v>
      </x:c>
      <x:c r="M93" s="296" t="n">
        <x:v>0.09</x:v>
      </x:c>
      <x:c r="N93" s="233" t="n">
        <x:v>3</x:v>
      </x:c>
      <x:c r="O93" s="233" t="str">
        <x:v>DRAFT_ORDINAL_MAPPING</x:v>
      </x:c>
      <x:c r="P93" s="233" t="str">
        <x:v>VERIFIED</x:v>
      </x:c>
      <x:c r="Q93" s="235" t="str"/>
      <x:c r="R93" s="235" t="str"/>
      <x:c r="S93" s="233" t="str">
        <x:v>ILO_SCORE25</x:v>
      </x:c>
      <x:c r="T93" s="233" t="str">
        <x:v>WP140 online Annex, Table A1</x:v>
      </x:c>
      <x:c r="U93" s="235" t="str">
        <x:v>PENDING</x:v>
      </x:c>
      <x:c r="V93" s="235" t="str">
        <x:v>Codex</x:v>
      </x:c>
      <x:c r="W93" s="297" t="str">
        <x:v>KBJI–ISCO belum dipetakan; skor 0–5 adalah transformasi ordinal draft.</x:v>
      </x:c>
    </x:row>
    <x:row r="94">
      <x:c r="A94" s="293" t="str"/>
      <x:c r="B94" s="294" t="str"/>
      <x:c r="C94" s="235" t="str"/>
      <x:c r="D94" s="295" t="str">
        <x:v>2424</x:v>
      </x:c>
      <x:c r="E94" s="233" t="str">
        <x:v>Training and Staff Development Professionals</x:v>
      </x:c>
      <x:c r="F94" s="233" t="str">
        <x:v>UNRESOLVED</x:v>
      </x:c>
      <x:c r="G94" s="233"/>
      <x:c r="H94" s="233" t="str"/>
      <x:c r="I94" s="233"/>
      <x:c r="J94" s="233" t="str">
        <x:v>PENDING</x:v>
      </x:c>
      <x:c r="K94" s="233" t="str">
        <x:v>Gradient 2</x:v>
      </x:c>
      <x:c r="L94" s="296" t="n">
        <x:v>0.41</x:v>
      </x:c>
      <x:c r="M94" s="296" t="n">
        <x:v>0.09</x:v>
      </x:c>
      <x:c r="N94" s="233" t="n">
        <x:v>3</x:v>
      </x:c>
      <x:c r="O94" s="233" t="str">
        <x:v>DRAFT_ORDINAL_MAPPING</x:v>
      </x:c>
      <x:c r="P94" s="233" t="str">
        <x:v>VERIFIED</x:v>
      </x:c>
      <x:c r="Q94" s="235" t="str"/>
      <x:c r="R94" s="235" t="str"/>
      <x:c r="S94" s="233" t="str">
        <x:v>ILO_SCORE25</x:v>
      </x:c>
      <x:c r="T94" s="233" t="str">
        <x:v>WP140 online Annex, Table A1</x:v>
      </x:c>
      <x:c r="U94" s="235" t="str">
        <x:v>PENDING</x:v>
      </x:c>
      <x:c r="V94" s="235" t="str">
        <x:v>Codex</x:v>
      </x:c>
      <x:c r="W94" s="297" t="str">
        <x:v>KBJI–ISCO belum dipetakan; skor 0–5 adalah transformasi ordinal draft.</x:v>
      </x:c>
    </x:row>
    <x:row r="95">
      <x:c r="A95" s="293" t="str"/>
      <x:c r="B95" s="294" t="str"/>
      <x:c r="C95" s="235" t="str"/>
      <x:c r="D95" s="295" t="str">
        <x:v>4412</x:v>
      </x:c>
      <x:c r="E95" s="233" t="str">
        <x:v>Mail Carriers and Sorting Clerks</x:v>
      </x:c>
      <x:c r="F95" s="233" t="str">
        <x:v>UNRESOLVED</x:v>
      </x:c>
      <x:c r="G95" s="233"/>
      <x:c r="H95" s="233" t="str"/>
      <x:c r="I95" s="233"/>
      <x:c r="J95" s="233" t="str">
        <x:v>PENDING</x:v>
      </x:c>
      <x:c r="K95" s="233" t="str">
        <x:v>Gradient 2</x:v>
      </x:c>
      <x:c r="L95" s="296" t="n">
        <x:v>0.41</x:v>
      </x:c>
      <x:c r="M95" s="296" t="n">
        <x:v>0.15</x:v>
      </x:c>
      <x:c r="N95" s="233" t="n">
        <x:v>3</x:v>
      </x:c>
      <x:c r="O95" s="233" t="str">
        <x:v>DRAFT_ORDINAL_MAPPING</x:v>
      </x:c>
      <x:c r="P95" s="233" t="str">
        <x:v>VERIFIED</x:v>
      </x:c>
      <x:c r="Q95" s="235" t="str"/>
      <x:c r="R95" s="235" t="str"/>
      <x:c r="S95" s="233" t="str">
        <x:v>ILO_SCORE25</x:v>
      </x:c>
      <x:c r="T95" s="233" t="str">
        <x:v>WP140 online Annex, Table A1</x:v>
      </x:c>
      <x:c r="U95" s="235" t="str">
        <x:v>PENDING</x:v>
      </x:c>
      <x:c r="V95" s="235" t="str">
        <x:v>Codex</x:v>
      </x:c>
      <x:c r="W95" s="297" t="str">
        <x:v>KBJI–ISCO belum dipetakan; skor 0–5 adalah transformasi ordinal draft.</x:v>
      </x:c>
    </x:row>
    <x:row r="96">
      <x:c r="A96" s="293" t="str"/>
      <x:c r="B96" s="294" t="str"/>
      <x:c r="C96" s="235" t="str"/>
      <x:c r="D96" s="295" t="str">
        <x:v>2131</x:v>
      </x:c>
      <x:c r="E96" s="233" t="str">
        <x:v>Biologists, Botanists, Zoologists and Related Professionals</x:v>
      </x:c>
      <x:c r="F96" s="233" t="str">
        <x:v>UNRESOLVED</x:v>
      </x:c>
      <x:c r="G96" s="233"/>
      <x:c r="H96" s="233" t="str"/>
      <x:c r="I96" s="233"/>
      <x:c r="J96" s="233" t="str">
        <x:v>PENDING</x:v>
      </x:c>
      <x:c r="K96" s="233" t="str">
        <x:v>Gradient 2</x:v>
      </x:c>
      <x:c r="L96" s="296" t="n">
        <x:v>0.4</x:v>
      </x:c>
      <x:c r="M96" s="296" t="n">
        <x:v>0.1</x:v>
      </x:c>
      <x:c r="N96" s="233" t="n">
        <x:v>3</x:v>
      </x:c>
      <x:c r="O96" s="233" t="str">
        <x:v>DRAFT_ORDINAL_MAPPING</x:v>
      </x:c>
      <x:c r="P96" s="233" t="str">
        <x:v>VERIFIED</x:v>
      </x:c>
      <x:c r="Q96" s="235" t="str"/>
      <x:c r="R96" s="235" t="str"/>
      <x:c r="S96" s="233" t="str">
        <x:v>ILO_SCORE25</x:v>
      </x:c>
      <x:c r="T96" s="233" t="str">
        <x:v>WP140 online Annex, Table A1</x:v>
      </x:c>
      <x:c r="U96" s="235" t="str">
        <x:v>PENDING</x:v>
      </x:c>
      <x:c r="V96" s="235" t="str">
        <x:v>Codex</x:v>
      </x:c>
      <x:c r="W96" s="297" t="str">
        <x:v>KBJI–ISCO belum dipetakan; skor 0–5 adalah transformasi ordinal draft.</x:v>
      </x:c>
    </x:row>
    <x:row r="97">
      <x:c r="A97" s="293" t="str"/>
      <x:c r="B97" s="294" t="str"/>
      <x:c r="C97" s="235" t="str"/>
      <x:c r="D97" s="295" t="str">
        <x:v>2351</x:v>
      </x:c>
      <x:c r="E97" s="233" t="str">
        <x:v>Education Methods Specialists</x:v>
      </x:c>
      <x:c r="F97" s="233" t="str">
        <x:v>UNRESOLVED</x:v>
      </x:c>
      <x:c r="G97" s="233"/>
      <x:c r="H97" s="233" t="str"/>
      <x:c r="I97" s="233"/>
      <x:c r="J97" s="233" t="str">
        <x:v>PENDING</x:v>
      </x:c>
      <x:c r="K97" s="233" t="str">
        <x:v>Gradient 1</x:v>
      </x:c>
      <x:c r="L97" s="296" t="n">
        <x:v>0.39</x:v>
      </x:c>
      <x:c r="M97" s="296" t="n">
        <x:v>0.11</x:v>
      </x:c>
      <x:c r="N97" s="233" t="n">
        <x:v>2</x:v>
      </x:c>
      <x:c r="O97" s="233" t="str">
        <x:v>DRAFT_ORDINAL_MAPPING</x:v>
      </x:c>
      <x:c r="P97" s="233" t="str">
        <x:v>VERIFIED</x:v>
      </x:c>
      <x:c r="Q97" s="235" t="str"/>
      <x:c r="R97" s="235" t="str"/>
      <x:c r="S97" s="233" t="str">
        <x:v>ILO_SCORE25</x:v>
      </x:c>
      <x:c r="T97" s="233" t="str">
        <x:v>WP140 online Annex, Table A1</x:v>
      </x:c>
      <x:c r="U97" s="235" t="str">
        <x:v>PENDING</x:v>
      </x:c>
      <x:c r="V97" s="235" t="str">
        <x:v>Codex</x:v>
      </x:c>
      <x:c r="W97" s="297" t="str">
        <x:v>KBJI–ISCO belum dipetakan; skor 0–5 adalah transformasi ordinal draft.</x:v>
      </x:c>
    </x:row>
    <x:row r="98">
      <x:c r="A98" s="293" t="str"/>
      <x:c r="B98" s="294" t="str"/>
      <x:c r="C98" s="235" t="str"/>
      <x:c r="D98" s="295" t="str">
        <x:v>2634</x:v>
      </x:c>
      <x:c r="E98" s="233" t="str">
        <x:v>Psychologists</x:v>
      </x:c>
      <x:c r="F98" s="233" t="str">
        <x:v>UNRESOLVED</x:v>
      </x:c>
      <x:c r="G98" s="233"/>
      <x:c r="H98" s="233" t="str"/>
      <x:c r="I98" s="233"/>
      <x:c r="J98" s="233" t="str">
        <x:v>PENDING</x:v>
      </x:c>
      <x:c r="K98" s="233" t="str">
        <x:v>Gradient 1</x:v>
      </x:c>
      <x:c r="L98" s="296" t="n">
        <x:v>0.39</x:v>
      </x:c>
      <x:c r="M98" s="296" t="n">
        <x:v>0.14</x:v>
      </x:c>
      <x:c r="N98" s="233" t="n">
        <x:v>2</x:v>
      </x:c>
      <x:c r="O98" s="233" t="str">
        <x:v>DRAFT_ORDINAL_MAPPING</x:v>
      </x:c>
      <x:c r="P98" s="233" t="str">
        <x:v>VERIFIED</x:v>
      </x:c>
      <x:c r="Q98" s="235" t="str"/>
      <x:c r="R98" s="235" t="str"/>
      <x:c r="S98" s="233" t="str">
        <x:v>ILO_SCORE25</x:v>
      </x:c>
      <x:c r="T98" s="233" t="str">
        <x:v>WP140 online Annex, Table A1</x:v>
      </x:c>
      <x:c r="U98" s="235" t="str">
        <x:v>PENDING</x:v>
      </x:c>
      <x:c r="V98" s="235" t="str">
        <x:v>Codex</x:v>
      </x:c>
      <x:c r="W98" s="297" t="str">
        <x:v>KBJI–ISCO belum dipetakan; skor 0–5 adalah transformasi ordinal draft.</x:v>
      </x:c>
    </x:row>
    <x:row r="99">
      <x:c r="A99" s="293" t="str"/>
      <x:c r="B99" s="294" t="str"/>
      <x:c r="C99" s="235" t="str"/>
      <x:c r="D99" s="295" t="str">
        <x:v>3411</x:v>
      </x:c>
      <x:c r="E99" s="233" t="str">
        <x:v>Legal and Related Associate Professionals</x:v>
      </x:c>
      <x:c r="F99" s="233" t="str">
        <x:v>UNRESOLVED</x:v>
      </x:c>
      <x:c r="G99" s="233"/>
      <x:c r="H99" s="233" t="str"/>
      <x:c r="I99" s="233"/>
      <x:c r="J99" s="233" t="str">
        <x:v>PENDING</x:v>
      </x:c>
      <x:c r="K99" s="233" t="str">
        <x:v>Gradient 1</x:v>
      </x:c>
      <x:c r="L99" s="296" t="n">
        <x:v>0.39</x:v>
      </x:c>
      <x:c r="M99" s="296" t="n">
        <x:v>0.14</x:v>
      </x:c>
      <x:c r="N99" s="233" t="n">
        <x:v>2</x:v>
      </x:c>
      <x:c r="O99" s="233" t="str">
        <x:v>DRAFT_ORDINAL_MAPPING</x:v>
      </x:c>
      <x:c r="P99" s="233" t="str">
        <x:v>VERIFIED</x:v>
      </x:c>
      <x:c r="Q99" s="235" t="str"/>
      <x:c r="R99" s="235" t="str"/>
      <x:c r="S99" s="233" t="str">
        <x:v>ILO_SCORE25</x:v>
      </x:c>
      <x:c r="T99" s="233" t="str">
        <x:v>WP140 online Annex, Table A1</x:v>
      </x:c>
      <x:c r="U99" s="235" t="str">
        <x:v>PENDING</x:v>
      </x:c>
      <x:c r="V99" s="235" t="str">
        <x:v>Codex</x:v>
      </x:c>
      <x:c r="W99" s="297" t="str">
        <x:v>KBJI–ISCO belum dipetakan; skor 0–5 adalah transformasi ordinal draft.</x:v>
      </x:c>
    </x:row>
    <x:row r="100">
      <x:c r="A100" s="293" t="str"/>
      <x:c r="B100" s="294" t="str"/>
      <x:c r="C100" s="235" t="str"/>
      <x:c r="D100" s="295" t="str">
        <x:v>3431</x:v>
      </x:c>
      <x:c r="E100" s="233" t="str">
        <x:v>Photographers</x:v>
      </x:c>
      <x:c r="F100" s="233" t="str">
        <x:v>UNRESOLVED</x:v>
      </x:c>
      <x:c r="G100" s="233"/>
      <x:c r="H100" s="233" t="str"/>
      <x:c r="I100" s="233"/>
      <x:c r="J100" s="233" t="str">
        <x:v>PENDING</x:v>
      </x:c>
      <x:c r="K100" s="233" t="str">
        <x:v>Gradient 1</x:v>
      </x:c>
      <x:c r="L100" s="296" t="n">
        <x:v>0.39</x:v>
      </x:c>
      <x:c r="M100" s="296" t="n">
        <x:v>0.12</x:v>
      </x:c>
      <x:c r="N100" s="233" t="n">
        <x:v>2</x:v>
      </x:c>
      <x:c r="O100" s="233" t="str">
        <x:v>DRAFT_ORDINAL_MAPPING</x:v>
      </x:c>
      <x:c r="P100" s="233" t="str">
        <x:v>VERIFIED</x:v>
      </x:c>
      <x:c r="Q100" s="235" t="str"/>
      <x:c r="R100" s="235" t="str"/>
      <x:c r="S100" s="233" t="str">
        <x:v>ILO_SCORE25</x:v>
      </x:c>
      <x:c r="T100" s="233" t="str">
        <x:v>WP140 online Annex, Table A1</x:v>
      </x:c>
      <x:c r="U100" s="235" t="str">
        <x:v>PENDING</x:v>
      </x:c>
      <x:c r="V100" s="235" t="str">
        <x:v>Codex</x:v>
      </x:c>
      <x:c r="W100" s="297" t="str">
        <x:v>KBJI–ISCO belum dipetakan; skor 0–5 adalah transformasi ordinal draft.</x:v>
      </x:c>
    </x:row>
    <x:row r="101">
      <x:c r="A101" s="293" t="str"/>
      <x:c r="B101" s="294" t="str"/>
      <x:c r="C101" s="235" t="str"/>
      <x:c r="D101" s="295" t="str">
        <x:v>5230</x:v>
      </x:c>
      <x:c r="E101" s="233" t="str">
        <x:v>Cashiers and Ticket Clerks</x:v>
      </x:c>
      <x:c r="F101" s="233" t="str">
        <x:v>UNRESOLVED</x:v>
      </x:c>
      <x:c r="G101" s="233"/>
      <x:c r="H101" s="233" t="str"/>
      <x:c r="I101" s="233"/>
      <x:c r="J101" s="233" t="str">
        <x:v>PENDING</x:v>
      </x:c>
      <x:c r="K101" s="233" t="str">
        <x:v>Gradient 1</x:v>
      </x:c>
      <x:c r="L101" s="296" t="n">
        <x:v>0.39</x:v>
      </x:c>
      <x:c r="M101" s="296" t="n">
        <x:v>0.14</x:v>
      </x:c>
      <x:c r="N101" s="233" t="n">
        <x:v>2</x:v>
      </x:c>
      <x:c r="O101" s="233" t="str">
        <x:v>DRAFT_ORDINAL_MAPPING</x:v>
      </x:c>
      <x:c r="P101" s="233" t="str">
        <x:v>VERIFIED</x:v>
      </x:c>
      <x:c r="Q101" s="235" t="str"/>
      <x:c r="R101" s="235" t="str"/>
      <x:c r="S101" s="233" t="str">
        <x:v>ILO_SCORE25</x:v>
      </x:c>
      <x:c r="T101" s="233" t="str">
        <x:v>WP140 online Annex, Table A1</x:v>
      </x:c>
      <x:c r="U101" s="235" t="str">
        <x:v>PENDING</x:v>
      </x:c>
      <x:c r="V101" s="235" t="str">
        <x:v>Codex</x:v>
      </x:c>
      <x:c r="W101" s="297" t="str">
        <x:v>KBJI–ISCO belum dipetakan; skor 0–5 adalah transformasi ordinal draft.</x:v>
      </x:c>
    </x:row>
    <x:row r="102">
      <x:c r="A102" s="293" t="str"/>
      <x:c r="B102" s="294" t="str"/>
      <x:c r="C102" s="235" t="str"/>
      <x:c r="D102" s="295" t="str">
        <x:v>2111</x:v>
      </x:c>
      <x:c r="E102" s="233" t="str">
        <x:v>Physicists and Astronomers</x:v>
      </x:c>
      <x:c r="F102" s="233" t="str">
        <x:v>UNRESOLVED</x:v>
      </x:c>
      <x:c r="G102" s="233"/>
      <x:c r="H102" s="233" t="str"/>
      <x:c r="I102" s="233"/>
      <x:c r="J102" s="233" t="str">
        <x:v>PENDING</x:v>
      </x:c>
      <x:c r="K102" s="233" t="str">
        <x:v>Gradient 1</x:v>
      </x:c>
      <x:c r="L102" s="296" t="n">
        <x:v>0.38</x:v>
      </x:c>
      <x:c r="M102" s="296" t="n">
        <x:v>0.14</x:v>
      </x:c>
      <x:c r="N102" s="233" t="n">
        <x:v>2</x:v>
      </x:c>
      <x:c r="O102" s="233" t="str">
        <x:v>DRAFT_ORDINAL_MAPPING</x:v>
      </x:c>
      <x:c r="P102" s="233" t="str">
        <x:v>VERIFIED</x:v>
      </x:c>
      <x:c r="Q102" s="235" t="str"/>
      <x:c r="R102" s="235" t="str"/>
      <x:c r="S102" s="233" t="str">
        <x:v>ILO_SCORE25</x:v>
      </x:c>
      <x:c r="T102" s="233" t="str">
        <x:v>WP140 online Annex, Table A1</x:v>
      </x:c>
      <x:c r="U102" s="235" t="str">
        <x:v>PENDING</x:v>
      </x:c>
      <x:c r="V102" s="235" t="str">
        <x:v>Codex</x:v>
      </x:c>
      <x:c r="W102" s="297" t="str">
        <x:v>KBJI–ISCO belum dipetakan; skor 0–5 adalah transformasi ordinal draft.</x:v>
      </x:c>
    </x:row>
    <x:row r="103">
      <x:c r="A103" s="293" t="str"/>
      <x:c r="B103" s="294" t="str"/>
      <x:c r="C103" s="235" t="str"/>
      <x:c r="D103" s="295" t="str">
        <x:v>3141</x:v>
      </x:c>
      <x:c r="E103" s="233" t="str">
        <x:v>Life Science Technicians (excluding Medical)</x:v>
      </x:c>
      <x:c r="F103" s="233" t="str">
        <x:v>UNRESOLVED</x:v>
      </x:c>
      <x:c r="G103" s="233"/>
      <x:c r="H103" s="233" t="str"/>
      <x:c r="I103" s="233"/>
      <x:c r="J103" s="233" t="str">
        <x:v>PENDING</x:v>
      </x:c>
      <x:c r="K103" s="233" t="str">
        <x:v>Gradient 1</x:v>
      </x:c>
      <x:c r="L103" s="296" t="n">
        <x:v>0.38</x:v>
      </x:c>
      <x:c r="M103" s="296" t="n">
        <x:v>0.18</x:v>
      </x:c>
      <x:c r="N103" s="233" t="n">
        <x:v>2</x:v>
      </x:c>
      <x:c r="O103" s="233" t="str">
        <x:v>DRAFT_ORDINAL_MAPPING</x:v>
      </x:c>
      <x:c r="P103" s="233" t="str">
        <x:v>VERIFIED</x:v>
      </x:c>
      <x:c r="Q103" s="235" t="str"/>
      <x:c r="R103" s="235" t="str"/>
      <x:c r="S103" s="233" t="str">
        <x:v>ILO_SCORE25</x:v>
      </x:c>
      <x:c r="T103" s="233" t="str">
        <x:v>WP140 online Annex, Table A1</x:v>
      </x:c>
      <x:c r="U103" s="235" t="str">
        <x:v>PENDING</x:v>
      </x:c>
      <x:c r="V103" s="235" t="str">
        <x:v>Codex</x:v>
      </x:c>
      <x:c r="W103" s="297" t="str">
        <x:v>KBJI–ISCO belum dipetakan; skor 0–5 adalah transformasi ordinal draft.</x:v>
      </x:c>
    </x:row>
    <x:row r="104">
      <x:c r="A104" s="293" t="str"/>
      <x:c r="B104" s="294" t="str"/>
      <x:c r="C104" s="235" t="str"/>
      <x:c r="D104" s="295" t="str">
        <x:v>5223</x:v>
      </x:c>
      <x:c r="E104" s="233" t="str">
        <x:v>Shop Sales Assistants</x:v>
      </x:c>
      <x:c r="F104" s="233" t="str">
        <x:v>UNRESOLVED</x:v>
      </x:c>
      <x:c r="G104" s="233"/>
      <x:c r="H104" s="233" t="str"/>
      <x:c r="I104" s="233"/>
      <x:c r="J104" s="233" t="str">
        <x:v>PENDING</x:v>
      </x:c>
      <x:c r="K104" s="233" t="str">
        <x:v>Gradient 1</x:v>
      </x:c>
      <x:c r="L104" s="296" t="n">
        <x:v>0.38</x:v>
      </x:c>
      <x:c r="M104" s="296" t="n">
        <x:v>0.16</x:v>
      </x:c>
      <x:c r="N104" s="233" t="n">
        <x:v>2</x:v>
      </x:c>
      <x:c r="O104" s="233" t="str">
        <x:v>DRAFT_ORDINAL_MAPPING</x:v>
      </x:c>
      <x:c r="P104" s="233" t="str">
        <x:v>VERIFIED</x:v>
      </x:c>
      <x:c r="Q104" s="235" t="str"/>
      <x:c r="R104" s="235" t="str"/>
      <x:c r="S104" s="233" t="str">
        <x:v>ILO_SCORE25</x:v>
      </x:c>
      <x:c r="T104" s="233" t="str">
        <x:v>WP140 online Annex, Table A1</x:v>
      </x:c>
      <x:c r="U104" s="235" t="str">
        <x:v>PENDING</x:v>
      </x:c>
      <x:c r="V104" s="235" t="str">
        <x:v>Codex</x:v>
      </x:c>
      <x:c r="W104" s="297" t="str">
        <x:v>KBJI–ISCO belum dipetakan; skor 0–5 adalah transformasi ordinal draft.</x:v>
      </x:c>
    </x:row>
    <x:row r="105">
      <x:c r="A105" s="293" t="str"/>
      <x:c r="B105" s="294" t="str"/>
      <x:c r="C105" s="235" t="str"/>
      <x:c r="D105" s="295" t="str">
        <x:v>7321</x:v>
      </x:c>
      <x:c r="E105" s="233" t="str">
        <x:v>Pre-press Technicians</x:v>
      </x:c>
      <x:c r="F105" s="233" t="str">
        <x:v>UNRESOLVED</x:v>
      </x:c>
      <x:c r="G105" s="233"/>
      <x:c r="H105" s="233" t="str"/>
      <x:c r="I105" s="233"/>
      <x:c r="J105" s="233" t="str">
        <x:v>PENDING</x:v>
      </x:c>
      <x:c r="K105" s="233" t="str">
        <x:v>Gradient 1</x:v>
      </x:c>
      <x:c r="L105" s="296" t="n">
        <x:v>0.38</x:v>
      </x:c>
      <x:c r="M105" s="296" t="n">
        <x:v>0.22</x:v>
      </x:c>
      <x:c r="N105" s="233" t="n">
        <x:v>2</x:v>
      </x:c>
      <x:c r="O105" s="233" t="str">
        <x:v>DRAFT_ORDINAL_MAPPING</x:v>
      </x:c>
      <x:c r="P105" s="233" t="str">
        <x:v>VERIFIED</x:v>
      </x:c>
      <x:c r="Q105" s="235" t="str"/>
      <x:c r="R105" s="235" t="str"/>
      <x:c r="S105" s="233" t="str">
        <x:v>ILO_SCORE25</x:v>
      </x:c>
      <x:c r="T105" s="233" t="str">
        <x:v>WP140 online Annex, Table A1</x:v>
      </x:c>
      <x:c r="U105" s="235" t="str">
        <x:v>PENDING</x:v>
      </x:c>
      <x:c r="V105" s="235" t="str">
        <x:v>Codex</x:v>
      </x:c>
      <x:c r="W105" s="297" t="str">
        <x:v>KBJI–ISCO belum dipetakan; skor 0–5 adalah transformasi ordinal draft.</x:v>
      </x:c>
    </x:row>
    <x:row r="106">
      <x:c r="A106" s="293" t="str"/>
      <x:c r="B106" s="294" t="str"/>
      <x:c r="C106" s="235" t="str"/>
      <x:c r="D106" s="295" t="str">
        <x:v>9623</x:v>
      </x:c>
      <x:c r="E106" s="233" t="str">
        <x:v>Meter Readers and Vending-machine Collectors</x:v>
      </x:c>
      <x:c r="F106" s="233" t="str">
        <x:v>UNRESOLVED</x:v>
      </x:c>
      <x:c r="G106" s="233"/>
      <x:c r="H106" s="233" t="str"/>
      <x:c r="I106" s="233"/>
      <x:c r="J106" s="233" t="str">
        <x:v>PENDING</x:v>
      </x:c>
      <x:c r="K106" s="233" t="str">
        <x:v>Gradient 1</x:v>
      </x:c>
      <x:c r="L106" s="296" t="n">
        <x:v>0.38</x:v>
      </x:c>
      <x:c r="M106" s="296" t="n">
        <x:v>0.21</x:v>
      </x:c>
      <x:c r="N106" s="233" t="n">
        <x:v>2</x:v>
      </x:c>
      <x:c r="O106" s="233" t="str">
        <x:v>DRAFT_ORDINAL_MAPPING</x:v>
      </x:c>
      <x:c r="P106" s="233" t="str">
        <x:v>VERIFIED</x:v>
      </x:c>
      <x:c r="Q106" s="235" t="str"/>
      <x:c r="R106" s="235" t="str"/>
      <x:c r="S106" s="233" t="str">
        <x:v>ILO_SCORE25</x:v>
      </x:c>
      <x:c r="T106" s="233" t="str">
        <x:v>WP140 online Annex, Table A1</x:v>
      </x:c>
      <x:c r="U106" s="235" t="str">
        <x:v>PENDING</x:v>
      </x:c>
      <x:c r="V106" s="235" t="str">
        <x:v>Codex</x:v>
      </x:c>
      <x:c r="W106" s="297" t="str">
        <x:v>KBJI–ISCO belum dipetakan; skor 0–5 adalah transformasi ordinal draft.</x:v>
      </x:c>
    </x:row>
    <x:row r="107">
      <x:c r="A107" s="293" t="str"/>
      <x:c r="B107" s="294" t="str"/>
      <x:c r="C107" s="235" t="str"/>
      <x:c r="D107" s="295" t="str">
        <x:v>1411</x:v>
      </x:c>
      <x:c r="E107" s="233" t="str">
        <x:v>Hotel Managers</x:v>
      </x:c>
      <x:c r="F107" s="233" t="str">
        <x:v>UNRESOLVED</x:v>
      </x:c>
      <x:c r="G107" s="233"/>
      <x:c r="H107" s="233" t="str"/>
      <x:c r="I107" s="233"/>
      <x:c r="J107" s="233" t="str">
        <x:v>PENDING</x:v>
      </x:c>
      <x:c r="K107" s="233" t="str">
        <x:v>Gradient 1</x:v>
      </x:c>
      <x:c r="L107" s="296" t="n">
        <x:v>0.37</x:v>
      </x:c>
      <x:c r="M107" s="296" t="n">
        <x:v>0.13</x:v>
      </x:c>
      <x:c r="N107" s="233" t="n">
        <x:v>2</x:v>
      </x:c>
      <x:c r="O107" s="233" t="str">
        <x:v>DRAFT_ORDINAL_MAPPING</x:v>
      </x:c>
      <x:c r="P107" s="233" t="str">
        <x:v>VERIFIED</x:v>
      </x:c>
      <x:c r="Q107" s="235" t="str"/>
      <x:c r="R107" s="235" t="str"/>
      <x:c r="S107" s="233" t="str">
        <x:v>ILO_SCORE25</x:v>
      </x:c>
      <x:c r="T107" s="233" t="str">
        <x:v>WP140 online Annex, Table A1</x:v>
      </x:c>
      <x:c r="U107" s="235" t="str">
        <x:v>PENDING</x:v>
      </x:c>
      <x:c r="V107" s="235" t="str">
        <x:v>Codex</x:v>
      </x:c>
      <x:c r="W107" s="297" t="str">
        <x:v>KBJI–ISCO belum dipetakan; skor 0–5 adalah transformasi ordinal draft.</x:v>
      </x:c>
    </x:row>
    <x:row r="108">
      <x:c r="A108" s="293" t="str"/>
      <x:c r="B108" s="294" t="str"/>
      <x:c r="C108" s="235" t="str"/>
      <x:c r="D108" s="295" t="str">
        <x:v>3433</x:v>
      </x:c>
      <x:c r="E108" s="233" t="str">
        <x:v>Gallery, Museum and Library Technicians</x:v>
      </x:c>
      <x:c r="F108" s="233" t="str">
        <x:v>UNRESOLVED</x:v>
      </x:c>
      <x:c r="G108" s="233"/>
      <x:c r="H108" s="233" t="str"/>
      <x:c r="I108" s="233"/>
      <x:c r="J108" s="233" t="str">
        <x:v>PENDING</x:v>
      </x:c>
      <x:c r="K108" s="233" t="str">
        <x:v>Gradient 1</x:v>
      </x:c>
      <x:c r="L108" s="296" t="n">
        <x:v>0.37</x:v>
      </x:c>
      <x:c r="M108" s="296" t="n">
        <x:v>0.2</x:v>
      </x:c>
      <x:c r="N108" s="233" t="n">
        <x:v>2</x:v>
      </x:c>
      <x:c r="O108" s="233" t="str">
        <x:v>DRAFT_ORDINAL_MAPPING</x:v>
      </x:c>
      <x:c r="P108" s="233" t="str">
        <x:v>VERIFIED</x:v>
      </x:c>
      <x:c r="Q108" s="235" t="str"/>
      <x:c r="R108" s="235" t="str"/>
      <x:c r="S108" s="233" t="str">
        <x:v>ILO_SCORE25</x:v>
      </x:c>
      <x:c r="T108" s="233" t="str">
        <x:v>WP140 online Annex, Table A1</x:v>
      </x:c>
      <x:c r="U108" s="235" t="str">
        <x:v>PENDING</x:v>
      </x:c>
      <x:c r="V108" s="235" t="str">
        <x:v>Codex</x:v>
      </x:c>
      <x:c r="W108" s="297" t="str">
        <x:v>KBJI–ISCO belum dipetakan; skor 0–5 adalah transformasi ordinal draft.</x:v>
      </x:c>
    </x:row>
    <x:row r="109">
      <x:c r="A109" s="293" t="str"/>
      <x:c r="B109" s="294" t="str"/>
      <x:c r="C109" s="235" t="str"/>
      <x:c r="D109" s="295" t="str">
        <x:v>4415</x:v>
      </x:c>
      <x:c r="E109" s="233" t="str">
        <x:v>Filing and Copying Clerks</x:v>
      </x:c>
      <x:c r="F109" s="233" t="str">
        <x:v>UNRESOLVED</x:v>
      </x:c>
      <x:c r="G109" s="233"/>
      <x:c r="H109" s="233" t="str"/>
      <x:c r="I109" s="233"/>
      <x:c r="J109" s="233" t="str">
        <x:v>PENDING</x:v>
      </x:c>
      <x:c r="K109" s="233" t="str">
        <x:v>Gradient 1</x:v>
      </x:c>
      <x:c r="L109" s="296" t="n">
        <x:v>0.37</x:v>
      </x:c>
      <x:c r="M109" s="296" t="n">
        <x:v>0.17</x:v>
      </x:c>
      <x:c r="N109" s="233" t="n">
        <x:v>2</x:v>
      </x:c>
      <x:c r="O109" s="233" t="str">
        <x:v>DRAFT_ORDINAL_MAPPING</x:v>
      </x:c>
      <x:c r="P109" s="233" t="str">
        <x:v>VERIFIED</x:v>
      </x:c>
      <x:c r="Q109" s="235" t="str"/>
      <x:c r="R109" s="235" t="str"/>
      <x:c r="S109" s="233" t="str">
        <x:v>ILO_SCORE25</x:v>
      </x:c>
      <x:c r="T109" s="233" t="str">
        <x:v>WP140 online Annex, Table A1</x:v>
      </x:c>
      <x:c r="U109" s="235" t="str">
        <x:v>PENDING</x:v>
      </x:c>
      <x:c r="V109" s="235" t="str">
        <x:v>Codex</x:v>
      </x:c>
      <x:c r="W109" s="297" t="str">
        <x:v>KBJI–ISCO belum dipetakan; skor 0–5 adalah transformasi ordinal draft.</x:v>
      </x:c>
    </x:row>
    <x:row r="110">
      <x:c r="A110" s="293" t="str"/>
      <x:c r="B110" s="294" t="str"/>
      <x:c r="C110" s="235" t="str"/>
      <x:c r="D110" s="295" t="str">
        <x:v>9621</x:v>
      </x:c>
      <x:c r="E110" s="233" t="str">
        <x:v>Messengers, Package Deliverers and Luggage Porters</x:v>
      </x:c>
      <x:c r="F110" s="233" t="str">
        <x:v>UNRESOLVED</x:v>
      </x:c>
      <x:c r="G110" s="233"/>
      <x:c r="H110" s="233" t="str"/>
      <x:c r="I110" s="233"/>
      <x:c r="J110" s="233" t="str">
        <x:v>PENDING</x:v>
      </x:c>
      <x:c r="K110" s="233" t="str">
        <x:v>Gradient 1</x:v>
      </x:c>
      <x:c r="L110" s="296" t="n">
        <x:v>0.37</x:v>
      </x:c>
      <x:c r="M110" s="296" t="n">
        <x:v>0.19</x:v>
      </x:c>
      <x:c r="N110" s="233" t="n">
        <x:v>2</x:v>
      </x:c>
      <x:c r="O110" s="233" t="str">
        <x:v>DRAFT_ORDINAL_MAPPING</x:v>
      </x:c>
      <x:c r="P110" s="233" t="str">
        <x:v>VERIFIED</x:v>
      </x:c>
      <x:c r="Q110" s="235" t="str"/>
      <x:c r="R110" s="235" t="str"/>
      <x:c r="S110" s="233" t="str">
        <x:v>ILO_SCORE25</x:v>
      </x:c>
      <x:c r="T110" s="233" t="str">
        <x:v>WP140 online Annex, Table A1</x:v>
      </x:c>
      <x:c r="U110" s="235" t="str">
        <x:v>PENDING</x:v>
      </x:c>
      <x:c r="V110" s="235" t="str">
        <x:v>Codex</x:v>
      </x:c>
      <x:c r="W110" s="297" t="str">
        <x:v>KBJI–ISCO belum dipetakan; skor 0–5 adalah transformasi ordinal draft.</x:v>
      </x:c>
    </x:row>
    <x:row r="111">
      <x:c r="A111" s="293" t="str"/>
      <x:c r="B111" s="294" t="str"/>
      <x:c r="C111" s="235" t="str"/>
      <x:c r="D111" s="295" t="str">
        <x:v>3256</x:v>
      </x:c>
      <x:c r="E111" s="233" t="str">
        <x:v>Medical Assistants</x:v>
      </x:c>
      <x:c r="F111" s="233" t="str">
        <x:v>UNRESOLVED</x:v>
      </x:c>
      <x:c r="G111" s="233"/>
      <x:c r="H111" s="233" t="str"/>
      <x:c r="I111" s="233"/>
      <x:c r="J111" s="233" t="str">
        <x:v>PENDING</x:v>
      </x:c>
      <x:c r="K111" s="233" t="str">
        <x:v>Gradient 1</x:v>
      </x:c>
      <x:c r="L111" s="296" t="n">
        <x:v>0.35</x:v>
      </x:c>
      <x:c r="M111" s="296" t="n">
        <x:v>0.23</x:v>
      </x:c>
      <x:c r="N111" s="233" t="n">
        <x:v>2</x:v>
      </x:c>
      <x:c r="O111" s="233" t="str">
        <x:v>DRAFT_ORDINAL_MAPPING</x:v>
      </x:c>
      <x:c r="P111" s="233" t="str">
        <x:v>VERIFIED</x:v>
      </x:c>
      <x:c r="Q111" s="235" t="str"/>
      <x:c r="R111" s="235" t="str"/>
      <x:c r="S111" s="233" t="str">
        <x:v>ILO_SCORE25</x:v>
      </x:c>
      <x:c r="T111" s="233" t="str">
        <x:v>WP140 online Annex, Table A1</x:v>
      </x:c>
      <x:c r="U111" s="235" t="str">
        <x:v>PENDING</x:v>
      </x:c>
      <x:c r="V111" s="235" t="str">
        <x:v>Codex</x:v>
      </x:c>
      <x:c r="W111" s="297" t="str">
        <x:v>KBJI–ISCO belum dipetakan; skor 0–5 adalah transformasi ordinal draft.</x:v>
      </x:c>
    </x:row>
    <x:row r="112">
      <x:c r="A112" s="293" t="str"/>
      <x:c r="B112" s="294" t="str"/>
      <x:c r="C112" s="235" t="str"/>
      <x:c r="D112" s="295" t="str">
        <x:v>5211</x:v>
      </x:c>
      <x:c r="E112" s="233" t="str">
        <x:v>Stall and Market Salespersons</x:v>
      </x:c>
      <x:c r="F112" s="233" t="str">
        <x:v>UNRESOLVED</x:v>
      </x:c>
      <x:c r="G112" s="233"/>
      <x:c r="H112" s="233" t="str"/>
      <x:c r="I112" s="233"/>
      <x:c r="J112" s="233" t="str">
        <x:v>PENDING</x:v>
      </x:c>
      <x:c r="K112" s="233" t="str">
        <x:v>Gradient 1</x:v>
      </x:c>
      <x:c r="L112" s="296" t="n">
        <x:v>0.35</x:v>
      </x:c>
      <x:c r="M112" s="296" t="n">
        <x:v>0.17</x:v>
      </x:c>
      <x:c r="N112" s="233" t="n">
        <x:v>2</x:v>
      </x:c>
      <x:c r="O112" s="233" t="str">
        <x:v>DRAFT_ORDINAL_MAPPING</x:v>
      </x:c>
      <x:c r="P112" s="233" t="str">
        <x:v>VERIFIED</x:v>
      </x:c>
      <x:c r="Q112" s="235" t="str"/>
      <x:c r="R112" s="235" t="str"/>
      <x:c r="S112" s="233" t="str">
        <x:v>ILO_SCORE25</x:v>
      </x:c>
      <x:c r="T112" s="233" t="str">
        <x:v>WP140 online Annex, Table A1</x:v>
      </x:c>
      <x:c r="U112" s="235" t="str">
        <x:v>PENDING</x:v>
      </x:c>
      <x:c r="V112" s="235" t="str">
        <x:v>Codex</x:v>
      </x:c>
      <x:c r="W112" s="297" t="str">
        <x:v>KBJI–ISCO belum dipetakan; skor 0–5 adalah transformasi ordinal draft.</x:v>
      </x:c>
    </x:row>
    <x:row r="113">
      <x:c r="A113" s="293" t="str"/>
      <x:c r="B113" s="294" t="str"/>
      <x:c r="C113" s="235" t="str"/>
      <x:c r="D113" s="295" t="str">
        <x:v>8322</x:v>
      </x:c>
      <x:c r="E113" s="233" t="str">
        <x:v>Car, Taxi and Van Drivers</x:v>
      </x:c>
      <x:c r="F113" s="233" t="str">
        <x:v>UNRESOLVED</x:v>
      </x:c>
      <x:c r="G113" s="233"/>
      <x:c r="H113" s="233" t="str"/>
      <x:c r="I113" s="233"/>
      <x:c r="J113" s="233" t="str">
        <x:v>PENDING</x:v>
      </x:c>
      <x:c r="K113" s="233" t="str">
        <x:v>Gradient 1</x:v>
      </x:c>
      <x:c r="L113" s="296" t="n">
        <x:v>0.28</x:v>
      </x:c>
      <x:c r="M113" s="296" t="n">
        <x:v>0.23</x:v>
      </x:c>
      <x:c r="N113" s="233" t="n">
        <x:v>2</x:v>
      </x:c>
      <x:c r="O113" s="233" t="str">
        <x:v>DRAFT_ORDINAL_MAPPING</x:v>
      </x:c>
      <x:c r="P113" s="233" t="str">
        <x:v>VERIFIED</x:v>
      </x:c>
      <x:c r="Q113" s="235" t="str"/>
      <x:c r="R113" s="235" t="str"/>
      <x:c r="S113" s="233" t="str">
        <x:v>ILO_SCORE25</x:v>
      </x:c>
      <x:c r="T113" s="233" t="str">
        <x:v>WP140 online Annex, Table A1</x:v>
      </x:c>
      <x:c r="U113" s="235" t="str">
        <x:v>PENDING</x:v>
      </x:c>
      <x:c r="V113" s="235" t="str">
        <x:v>Codex</x:v>
      </x:c>
      <x:c r="W113" s="297" t="str">
        <x:v>KBJI–ISCO belum dipetakan; skor 0–5 adalah transformasi ordinal draft.</x:v>
      </x:c>
    </x:row>
    <x:row r="114">
      <x:c r="A114" s="293" t="str"/>
      <x:c r="B114" s="294" t="str"/>
      <x:c r="C114" s="235" t="str"/>
      <x:c r="D114" s="295" t="str">
        <x:v>3522</x:v>
      </x:c>
      <x:c r="E114" s="233" t="str">
        <x:v>Telecommunications Engineering Technicians</x:v>
      </x:c>
      <x:c r="F114" s="233" t="str">
        <x:v>UNRESOLVED</x:v>
      </x:c>
      <x:c r="G114" s="233"/>
      <x:c r="H114" s="233" t="str"/>
      <x:c r="I114" s="233"/>
      <x:c r="J114" s="233" t="str">
        <x:v>PENDING</x:v>
      </x:c>
      <x:c r="K114" s="233" t="str">
        <x:v>Minimal Exposure</x:v>
      </x:c>
      <x:c r="L114" s="296" t="n">
        <x:v>0.45</x:v>
      </x:c>
      <x:c r="M114" s="296" t="n">
        <x:v>0.04</x:v>
      </x:c>
      <x:c r="N114" s="233" t="n">
        <x:v>1</x:v>
      </x:c>
      <x:c r="O114" s="233" t="str">
        <x:v>DRAFT_ORDINAL_MAPPING</x:v>
      </x:c>
      <x:c r="P114" s="233" t="str">
        <x:v>VERIFIED</x:v>
      </x:c>
      <x:c r="Q114" s="235" t="str"/>
      <x:c r="R114" s="235" t="str"/>
      <x:c r="S114" s="233" t="str">
        <x:v>ILO_SCORE25</x:v>
      </x:c>
      <x:c r="T114" s="233" t="str">
        <x:v>WP140 online Annex, Table A1</x:v>
      </x:c>
      <x:c r="U114" s="235" t="str">
        <x:v>PENDING</x:v>
      </x:c>
      <x:c r="V114" s="235" t="str">
        <x:v>Codex</x:v>
      </x:c>
      <x:c r="W114" s="297" t="str">
        <x:v>KBJI–ISCO belum dipetakan; skor 0–5 adalah transformasi ordinal draft.</x:v>
      </x:c>
    </x:row>
    <x:row r="115">
      <x:c r="A115" s="293" t="str"/>
      <x:c r="B115" s="294" t="str"/>
      <x:c r="C115" s="235" t="str"/>
      <x:c r="D115" s="295" t="str">
        <x:v>2422</x:v>
      </x:c>
      <x:c r="E115" s="233" t="str">
        <x:v>Policy Administration Professionals</x:v>
      </x:c>
      <x:c r="F115" s="233" t="str">
        <x:v>UNRESOLVED</x:v>
      </x:c>
      <x:c r="G115" s="233"/>
      <x:c r="H115" s="233" t="str"/>
      <x:c r="I115" s="233"/>
      <x:c r="J115" s="233" t="str">
        <x:v>PENDING</x:v>
      </x:c>
      <x:c r="K115" s="233" t="str">
        <x:v>Minimal Exposure</x:v>
      </x:c>
      <x:c r="L115" s="296" t="n">
        <x:v>0.42</x:v>
      </x:c>
      <x:c r="M115" s="296" t="n">
        <x:v>0.06</x:v>
      </x:c>
      <x:c r="N115" s="233" t="n">
        <x:v>1</x:v>
      </x:c>
      <x:c r="O115" s="233" t="str">
        <x:v>DRAFT_ORDINAL_MAPPING</x:v>
      </x:c>
      <x:c r="P115" s="233" t="str">
        <x:v>VERIFIED</x:v>
      </x:c>
      <x:c r="Q115" s="235" t="str"/>
      <x:c r="R115" s="235" t="str"/>
      <x:c r="S115" s="233" t="str">
        <x:v>ILO_SCORE25</x:v>
      </x:c>
      <x:c r="T115" s="233" t="str">
        <x:v>WP140 online Annex, Table A1</x:v>
      </x:c>
      <x:c r="U115" s="235" t="str">
        <x:v>PENDING</x:v>
      </x:c>
      <x:c r="V115" s="235" t="str">
        <x:v>Codex</x:v>
      </x:c>
      <x:c r="W115" s="297" t="str">
        <x:v>KBJI–ISCO belum dipetakan; skor 0–5 adalah transformasi ordinal draft.</x:v>
      </x:c>
    </x:row>
    <x:row r="116">
      <x:c r="A116" s="293" t="str"/>
      <x:c r="B116" s="294" t="str"/>
      <x:c r="C116" s="235" t="str"/>
      <x:c r="D116" s="295" t="str">
        <x:v>2164</x:v>
      </x:c>
      <x:c r="E116" s="233" t="str">
        <x:v>Town and Traffic Planners</x:v>
      </x:c>
      <x:c r="F116" s="233" t="str">
        <x:v>UNRESOLVED</x:v>
      </x:c>
      <x:c r="G116" s="233"/>
      <x:c r="H116" s="233" t="str"/>
      <x:c r="I116" s="233"/>
      <x:c r="J116" s="233" t="str">
        <x:v>PENDING</x:v>
      </x:c>
      <x:c r="K116" s="233" t="str">
        <x:v>Minimal Exposure</x:v>
      </x:c>
      <x:c r="L116" s="296" t="n">
        <x:v>0.41</x:v>
      </x:c>
      <x:c r="M116" s="296" t="n">
        <x:v>0.06</x:v>
      </x:c>
      <x:c r="N116" s="233" t="n">
        <x:v>1</x:v>
      </x:c>
      <x:c r="O116" s="233" t="str">
        <x:v>DRAFT_ORDINAL_MAPPING</x:v>
      </x:c>
      <x:c r="P116" s="233" t="str">
        <x:v>VERIFIED</x:v>
      </x:c>
      <x:c r="Q116" s="235" t="str"/>
      <x:c r="R116" s="235" t="str"/>
      <x:c r="S116" s="233" t="str">
        <x:v>ILO_SCORE25</x:v>
      </x:c>
      <x:c r="T116" s="233" t="str">
        <x:v>WP140 online Annex, Table A1</x:v>
      </x:c>
      <x:c r="U116" s="235" t="str">
        <x:v>PENDING</x:v>
      </x:c>
      <x:c r="V116" s="235" t="str">
        <x:v>Codex</x:v>
      </x:c>
      <x:c r="W116" s="297" t="str">
        <x:v>KBJI–ISCO belum dipetakan; skor 0–5 adalah transformasi ordinal draft.</x:v>
      </x:c>
    </x:row>
    <x:row r="117">
      <x:c r="A117" s="293" t="str"/>
      <x:c r="B117" s="294" t="str"/>
      <x:c r="C117" s="235" t="str"/>
      <x:c r="D117" s="295" t="str">
        <x:v>2265</x:v>
      </x:c>
      <x:c r="E117" s="233" t="str">
        <x:v>Dieticians and Nutritionists</x:v>
      </x:c>
      <x:c r="F117" s="233" t="str">
        <x:v>UNRESOLVED</x:v>
      </x:c>
      <x:c r="G117" s="233"/>
      <x:c r="H117" s="233" t="str"/>
      <x:c r="I117" s="233"/>
      <x:c r="J117" s="233" t="str">
        <x:v>PENDING</x:v>
      </x:c>
      <x:c r="K117" s="233" t="str">
        <x:v>Minimal Exposure</x:v>
      </x:c>
      <x:c r="L117" s="296" t="n">
        <x:v>0.41</x:v>
      </x:c>
      <x:c r="M117" s="296" t="n">
        <x:v>0.07</x:v>
      </x:c>
      <x:c r="N117" s="233" t="n">
        <x:v>1</x:v>
      </x:c>
      <x:c r="O117" s="233" t="str">
        <x:v>DRAFT_ORDINAL_MAPPING</x:v>
      </x:c>
      <x:c r="P117" s="233" t="str">
        <x:v>VERIFIED</x:v>
      </x:c>
      <x:c r="Q117" s="235" t="str"/>
      <x:c r="R117" s="235" t="str"/>
      <x:c r="S117" s="233" t="str">
        <x:v>ILO_SCORE25</x:v>
      </x:c>
      <x:c r="T117" s="233" t="str">
        <x:v>WP140 online Annex, Table A1</x:v>
      </x:c>
      <x:c r="U117" s="235" t="str">
        <x:v>PENDING</x:v>
      </x:c>
      <x:c r="V117" s="235" t="str">
        <x:v>Codex</x:v>
      </x:c>
      <x:c r="W117" s="297" t="str">
        <x:v>KBJI–ISCO belum dipetakan; skor 0–5 adalah transformasi ordinal draft.</x:v>
      </x:c>
    </x:row>
    <x:row r="118">
      <x:c r="A118" s="293" t="str"/>
      <x:c r="B118" s="294" t="str"/>
      <x:c r="C118" s="235" t="str"/>
      <x:c r="D118" s="295" t="str">
        <x:v>1223</x:v>
      </x:c>
      <x:c r="E118" s="233" t="str">
        <x:v>Research and Development Managers</x:v>
      </x:c>
      <x:c r="F118" s="233" t="str">
        <x:v>UNRESOLVED</x:v>
      </x:c>
      <x:c r="G118" s="233"/>
      <x:c r="H118" s="233" t="str"/>
      <x:c r="I118" s="233"/>
      <x:c r="J118" s="233" t="str">
        <x:v>PENDING</x:v>
      </x:c>
      <x:c r="K118" s="233" t="str">
        <x:v>Minimal Exposure</x:v>
      </x:c>
      <x:c r="L118" s="296" t="n">
        <x:v>0.4</x:v>
      </x:c>
      <x:c r="M118" s="296" t="n">
        <x:v>0.06</x:v>
      </x:c>
      <x:c r="N118" s="233" t="n">
        <x:v>1</x:v>
      </x:c>
      <x:c r="O118" s="233" t="str">
        <x:v>DRAFT_ORDINAL_MAPPING</x:v>
      </x:c>
      <x:c r="P118" s="233" t="str">
        <x:v>VERIFIED</x:v>
      </x:c>
      <x:c r="Q118" s="235" t="str"/>
      <x:c r="R118" s="235" t="str"/>
      <x:c r="S118" s="233" t="str">
        <x:v>ILO_SCORE25</x:v>
      </x:c>
      <x:c r="T118" s="233" t="str">
        <x:v>WP140 online Annex, Table A1</x:v>
      </x:c>
      <x:c r="U118" s="235" t="str">
        <x:v>PENDING</x:v>
      </x:c>
      <x:c r="V118" s="235" t="str">
        <x:v>Codex</x:v>
      </x:c>
      <x:c r="W118" s="297" t="str">
        <x:v>KBJI–ISCO belum dipetakan; skor 0–5 adalah transformasi ordinal draft.</x:v>
      </x:c>
    </x:row>
    <x:row r="119">
      <x:c r="A119" s="293" t="str"/>
      <x:c r="B119" s="294" t="str"/>
      <x:c r="C119" s="235" t="str"/>
      <x:c r="D119" s="295" t="str">
        <x:v>1222</x:v>
      </x:c>
      <x:c r="E119" s="233" t="str">
        <x:v>Advertising and Public Relations Managers</x:v>
      </x:c>
      <x:c r="F119" s="233" t="str">
        <x:v>UNRESOLVED</x:v>
      </x:c>
      <x:c r="G119" s="233"/>
      <x:c r="H119" s="233" t="str"/>
      <x:c r="I119" s="233"/>
      <x:c r="J119" s="233" t="str">
        <x:v>PENDING</x:v>
      </x:c>
      <x:c r="K119" s="233" t="str">
        <x:v>Minimal Exposure</x:v>
      </x:c>
      <x:c r="L119" s="296" t="n">
        <x:v>0.39</x:v>
      </x:c>
      <x:c r="M119" s="296" t="n">
        <x:v>0.05</x:v>
      </x:c>
      <x:c r="N119" s="233" t="n">
        <x:v>1</x:v>
      </x:c>
      <x:c r="O119" s="233" t="str">
        <x:v>DRAFT_ORDINAL_MAPPING</x:v>
      </x:c>
      <x:c r="P119" s="233" t="str">
        <x:v>VERIFIED</x:v>
      </x:c>
      <x:c r="Q119" s="235" t="str"/>
      <x:c r="R119" s="235" t="str"/>
      <x:c r="S119" s="233" t="str">
        <x:v>ILO_SCORE25</x:v>
      </x:c>
      <x:c r="T119" s="233" t="str">
        <x:v>WP140 online Annex, Table A1</x:v>
      </x:c>
      <x:c r="U119" s="235" t="str">
        <x:v>PENDING</x:v>
      </x:c>
      <x:c r="V119" s="235" t="str">
        <x:v>Codex</x:v>
      </x:c>
      <x:c r="W119" s="297" t="str">
        <x:v>KBJI–ISCO belum dipetakan; skor 0–5 adalah transformasi ordinal draft.</x:v>
      </x:c>
    </x:row>
    <x:row r="120">
      <x:c r="A120" s="293" t="str"/>
      <x:c r="B120" s="294" t="str"/>
      <x:c r="C120" s="235" t="str"/>
      <x:c r="D120" s="295" t="str">
        <x:v>2113</x:v>
      </x:c>
      <x:c r="E120" s="233" t="str">
        <x:v>Chemists</x:v>
      </x:c>
      <x:c r="F120" s="233" t="str">
        <x:v>UNRESOLVED</x:v>
      </x:c>
      <x:c r="G120" s="233"/>
      <x:c r="H120" s="233" t="str"/>
      <x:c r="I120" s="233"/>
      <x:c r="J120" s="233" t="str">
        <x:v>PENDING</x:v>
      </x:c>
      <x:c r="K120" s="233" t="str">
        <x:v>Minimal Exposure</x:v>
      </x:c>
      <x:c r="L120" s="296" t="n">
        <x:v>0.39</x:v>
      </x:c>
      <x:c r="M120" s="296" t="n">
        <x:v>0.1</x:v>
      </x:c>
      <x:c r="N120" s="233" t="n">
        <x:v>1</x:v>
      </x:c>
      <x:c r="O120" s="233" t="str">
        <x:v>DRAFT_ORDINAL_MAPPING</x:v>
      </x:c>
      <x:c r="P120" s="233" t="str">
        <x:v>VERIFIED</x:v>
      </x:c>
      <x:c r="Q120" s="235" t="str"/>
      <x:c r="R120" s="235" t="str"/>
      <x:c r="S120" s="233" t="str">
        <x:v>ILO_SCORE25</x:v>
      </x:c>
      <x:c r="T120" s="233" t="str">
        <x:v>WP140 online Annex, Table A1</x:v>
      </x:c>
      <x:c r="U120" s="235" t="str">
        <x:v>PENDING</x:v>
      </x:c>
      <x:c r="V120" s="235" t="str">
        <x:v>Codex</x:v>
      </x:c>
      <x:c r="W120" s="297" t="str">
        <x:v>KBJI–ISCO belum dipetakan; skor 0–5 adalah transformasi ordinal draft.</x:v>
      </x:c>
    </x:row>
    <x:row r="121">
      <x:c r="A121" s="293" t="str"/>
      <x:c r="B121" s="294" t="str"/>
      <x:c r="C121" s="235" t="str"/>
      <x:c r="D121" s="295" t="str">
        <x:v>3323</x:v>
      </x:c>
      <x:c r="E121" s="233" t="str">
        <x:v>Buyers</x:v>
      </x:c>
      <x:c r="F121" s="233" t="str">
        <x:v>UNRESOLVED</x:v>
      </x:c>
      <x:c r="G121" s="233"/>
      <x:c r="H121" s="233" t="str"/>
      <x:c r="I121" s="233"/>
      <x:c r="J121" s="233" t="str">
        <x:v>PENDING</x:v>
      </x:c>
      <x:c r="K121" s="233" t="str">
        <x:v>Minimal Exposure</x:v>
      </x:c>
      <x:c r="L121" s="296" t="n">
        <x:v>0.39</x:v>
      </x:c>
      <x:c r="M121" s="296" t="n">
        <x:v>0.08</x:v>
      </x:c>
      <x:c r="N121" s="233" t="n">
        <x:v>1</x:v>
      </x:c>
      <x:c r="O121" s="233" t="str">
        <x:v>DRAFT_ORDINAL_MAPPING</x:v>
      </x:c>
      <x:c r="P121" s="233" t="str">
        <x:v>VERIFIED</x:v>
      </x:c>
      <x:c r="Q121" s="235" t="str"/>
      <x:c r="R121" s="235" t="str"/>
      <x:c r="S121" s="233" t="str">
        <x:v>ILO_SCORE25</x:v>
      </x:c>
      <x:c r="T121" s="233" t="str">
        <x:v>WP140 online Annex, Table A1</x:v>
      </x:c>
      <x:c r="U121" s="235" t="str">
        <x:v>PENDING</x:v>
      </x:c>
      <x:c r="V121" s="235" t="str">
        <x:v>Codex</x:v>
      </x:c>
      <x:c r="W121" s="297" t="str">
        <x:v>KBJI–ISCO belum dipetakan; skor 0–5 adalah transformasi ordinal draft.</x:v>
      </x:c>
    </x:row>
    <x:row r="122">
      <x:c r="A122" s="293" t="str"/>
      <x:c r="B122" s="294" t="str"/>
      <x:c r="C122" s="235" t="str"/>
      <x:c r="D122" s="295" t="str">
        <x:v>3333</x:v>
      </x:c>
      <x:c r="E122" s="233" t="str">
        <x:v>Employment agents and contractors</x:v>
      </x:c>
      <x:c r="F122" s="233" t="str">
        <x:v>UNRESOLVED</x:v>
      </x:c>
      <x:c r="G122" s="233"/>
      <x:c r="H122" s="233" t="str"/>
      <x:c r="I122" s="233"/>
      <x:c r="J122" s="233" t="str">
        <x:v>PENDING</x:v>
      </x:c>
      <x:c r="K122" s="233" t="str">
        <x:v>Minimal Exposure</x:v>
      </x:c>
      <x:c r="L122" s="296" t="n">
        <x:v>0.39</x:v>
      </x:c>
      <x:c r="M122" s="296" t="n">
        <x:v>0.09</x:v>
      </x:c>
      <x:c r="N122" s="233" t="n">
        <x:v>1</x:v>
      </x:c>
      <x:c r="O122" s="233" t="str">
        <x:v>DRAFT_ORDINAL_MAPPING</x:v>
      </x:c>
      <x:c r="P122" s="233" t="str">
        <x:v>VERIFIED</x:v>
      </x:c>
      <x:c r="Q122" s="235" t="str"/>
      <x:c r="R122" s="235" t="str"/>
      <x:c r="S122" s="233" t="str">
        <x:v>ILO_SCORE25</x:v>
      </x:c>
      <x:c r="T122" s="233" t="str">
        <x:v>WP140 online Annex, Table A1</x:v>
      </x:c>
      <x:c r="U122" s="235" t="str">
        <x:v>PENDING</x:v>
      </x:c>
      <x:c r="V122" s="235" t="str">
        <x:v>Codex</x:v>
      </x:c>
      <x:c r="W122" s="297" t="str">
        <x:v>KBJI–ISCO belum dipetakan; skor 0–5 adalah transformasi ordinal draft.</x:v>
      </x:c>
    </x:row>
    <x:row r="123">
      <x:c r="A123" s="293" t="str"/>
      <x:c r="B123" s="294" t="str"/>
      <x:c r="C123" s="235" t="str"/>
      <x:c r="D123" s="295" t="str">
        <x:v>1112</x:v>
      </x:c>
      <x:c r="E123" s="233" t="str">
        <x:v>Senior Government Officials</x:v>
      </x:c>
      <x:c r="F123" s="233" t="str">
        <x:v>UNRESOLVED</x:v>
      </x:c>
      <x:c r="G123" s="233"/>
      <x:c r="H123" s="233" t="str"/>
      <x:c r="I123" s="233"/>
      <x:c r="J123" s="233" t="str">
        <x:v>PENDING</x:v>
      </x:c>
      <x:c r="K123" s="233" t="str">
        <x:v>Minimal Exposure</x:v>
      </x:c>
      <x:c r="L123" s="296" t="n">
        <x:v>0.38</x:v>
      </x:c>
      <x:c r="M123" s="296" t="n">
        <x:v>0.08</x:v>
      </x:c>
      <x:c r="N123" s="233" t="n">
        <x:v>1</x:v>
      </x:c>
      <x:c r="O123" s="233" t="str">
        <x:v>DRAFT_ORDINAL_MAPPING</x:v>
      </x:c>
      <x:c r="P123" s="233" t="str">
        <x:v>VERIFIED</x:v>
      </x:c>
      <x:c r="Q123" s="235" t="str"/>
      <x:c r="R123" s="235" t="str"/>
      <x:c r="S123" s="233" t="str">
        <x:v>ILO_SCORE25</x:v>
      </x:c>
      <x:c r="T123" s="233" t="str">
        <x:v>WP140 online Annex, Table A1</x:v>
      </x:c>
      <x:c r="U123" s="235" t="str">
        <x:v>PENDING</x:v>
      </x:c>
      <x:c r="V123" s="235" t="str">
        <x:v>Codex</x:v>
      </x:c>
      <x:c r="W123" s="297" t="str">
        <x:v>KBJI–ISCO belum dipetakan; skor 0–5 adalah transformasi ordinal draft.</x:v>
      </x:c>
    </x:row>
    <x:row r="124">
      <x:c r="A124" s="293" t="str"/>
      <x:c r="B124" s="294" t="str"/>
      <x:c r="C124" s="235" t="str"/>
      <x:c r="D124" s="295" t="str">
        <x:v>1120</x:v>
      </x:c>
      <x:c r="E124" s="233" t="str">
        <x:v>Managing Directors and Chief Executives</x:v>
      </x:c>
      <x:c r="F124" s="233" t="str">
        <x:v>UNRESOLVED</x:v>
      </x:c>
      <x:c r="G124" s="233"/>
      <x:c r="H124" s="233" t="str"/>
      <x:c r="I124" s="233"/>
      <x:c r="J124" s="233" t="str">
        <x:v>PENDING</x:v>
      </x:c>
      <x:c r="K124" s="233" t="str">
        <x:v>Minimal Exposure</x:v>
      </x:c>
      <x:c r="L124" s="296" t="n">
        <x:v>0.38</x:v>
      </x:c>
      <x:c r="M124" s="296" t="n">
        <x:v>0.06</x:v>
      </x:c>
      <x:c r="N124" s="233" t="n">
        <x:v>1</x:v>
      </x:c>
      <x:c r="O124" s="233" t="str">
        <x:v>DRAFT_ORDINAL_MAPPING</x:v>
      </x:c>
      <x:c r="P124" s="233" t="str">
        <x:v>VERIFIED</x:v>
      </x:c>
      <x:c r="Q124" s="235" t="str"/>
      <x:c r="R124" s="235" t="str"/>
      <x:c r="S124" s="233" t="str">
        <x:v>ILO_SCORE25</x:v>
      </x:c>
      <x:c r="T124" s="233" t="str">
        <x:v>WP140 online Annex, Table A1</x:v>
      </x:c>
      <x:c r="U124" s="235" t="str">
        <x:v>PENDING</x:v>
      </x:c>
      <x:c r="V124" s="235" t="str">
        <x:v>Codex</x:v>
      </x:c>
      <x:c r="W124" s="297" t="str">
        <x:v>KBJI–ISCO belum dipetakan; skor 0–5 adalah transformasi ordinal draft.</x:v>
      </x:c>
    </x:row>
    <x:row r="125">
      <x:c r="A125" s="293" t="str"/>
      <x:c r="B125" s="294" t="str"/>
      <x:c r="C125" s="235" t="str"/>
      <x:c r="D125" s="295" t="str">
        <x:v>1321</x:v>
      </x:c>
      <x:c r="E125" s="233" t="str">
        <x:v>Manufacturing Managers</x:v>
      </x:c>
      <x:c r="F125" s="233" t="str">
        <x:v>UNRESOLVED</x:v>
      </x:c>
      <x:c r="G125" s="233"/>
      <x:c r="H125" s="233" t="str"/>
      <x:c r="I125" s="233"/>
      <x:c r="J125" s="233" t="str">
        <x:v>PENDING</x:v>
      </x:c>
      <x:c r="K125" s="233" t="str">
        <x:v>Minimal Exposure</x:v>
      </x:c>
      <x:c r="L125" s="296" t="n">
        <x:v>0.38</x:v>
      </x:c>
      <x:c r="M125" s="296" t="n">
        <x:v>0.11</x:v>
      </x:c>
      <x:c r="N125" s="233" t="n">
        <x:v>1</x:v>
      </x:c>
      <x:c r="O125" s="233" t="str">
        <x:v>DRAFT_ORDINAL_MAPPING</x:v>
      </x:c>
      <x:c r="P125" s="233" t="str">
        <x:v>VERIFIED</x:v>
      </x:c>
      <x:c r="Q125" s="235" t="str"/>
      <x:c r="R125" s="235" t="str"/>
      <x:c r="S125" s="233" t="str">
        <x:v>ILO_SCORE25</x:v>
      </x:c>
      <x:c r="T125" s="233" t="str">
        <x:v>WP140 online Annex, Table A1</x:v>
      </x:c>
      <x:c r="U125" s="235" t="str">
        <x:v>PENDING</x:v>
      </x:c>
      <x:c r="V125" s="235" t="str">
        <x:v>Codex</x:v>
      </x:c>
      <x:c r="W125" s="297" t="str">
        <x:v>KBJI–ISCO belum dipetakan; skor 0–5 adalah transformasi ordinal draft.</x:v>
      </x:c>
    </x:row>
    <x:row r="126">
      <x:c r="A126" s="293" t="str"/>
      <x:c r="B126" s="294" t="str"/>
      <x:c r="C126" s="235" t="str"/>
      <x:c r="D126" s="295" t="str">
        <x:v>1324</x:v>
      </x:c>
      <x:c r="E126" s="233" t="str">
        <x:v>Supply, Distribution and Related Managers</x:v>
      </x:c>
      <x:c r="F126" s="233" t="str">
        <x:v>UNRESOLVED</x:v>
      </x:c>
      <x:c r="G126" s="233"/>
      <x:c r="H126" s="233" t="str"/>
      <x:c r="I126" s="233"/>
      <x:c r="J126" s="233" t="str">
        <x:v>PENDING</x:v>
      </x:c>
      <x:c r="K126" s="233" t="str">
        <x:v>Minimal Exposure</x:v>
      </x:c>
      <x:c r="L126" s="296" t="n">
        <x:v>0.38</x:v>
      </x:c>
      <x:c r="M126" s="296" t="n">
        <x:v>0.05</x:v>
      </x:c>
      <x:c r="N126" s="233" t="n">
        <x:v>1</x:v>
      </x:c>
      <x:c r="O126" s="233" t="str">
        <x:v>DRAFT_ORDINAL_MAPPING</x:v>
      </x:c>
      <x:c r="P126" s="233" t="str">
        <x:v>VERIFIED</x:v>
      </x:c>
      <x:c r="Q126" s="235" t="str"/>
      <x:c r="R126" s="235" t="str"/>
      <x:c r="S126" s="233" t="str">
        <x:v>ILO_SCORE25</x:v>
      </x:c>
      <x:c r="T126" s="233" t="str">
        <x:v>WP140 online Annex, Table A1</x:v>
      </x:c>
      <x:c r="U126" s="235" t="str">
        <x:v>PENDING</x:v>
      </x:c>
      <x:c r="V126" s="235" t="str">
        <x:v>Codex</x:v>
      </x:c>
      <x:c r="W126" s="297" t="str">
        <x:v>KBJI–ISCO belum dipetakan; skor 0–5 adalah transformasi ordinal draft.</x:v>
      </x:c>
    </x:row>
    <x:row r="127">
      <x:c r="A127" s="293" t="str"/>
      <x:c r="B127" s="294" t="str"/>
      <x:c r="C127" s="235" t="str"/>
      <x:c r="D127" s="295" t="str">
        <x:v>1349</x:v>
      </x:c>
      <x:c r="E127" s="233" t="str">
        <x:v>Professional Services Managers Not Elsewhere Classified</x:v>
      </x:c>
      <x:c r="F127" s="233" t="str">
        <x:v>UNRESOLVED</x:v>
      </x:c>
      <x:c r="G127" s="233"/>
      <x:c r="H127" s="233" t="str"/>
      <x:c r="I127" s="233"/>
      <x:c r="J127" s="233" t="str">
        <x:v>PENDING</x:v>
      </x:c>
      <x:c r="K127" s="233" t="str">
        <x:v>Minimal Exposure</x:v>
      </x:c>
      <x:c r="L127" s="296" t="n">
        <x:v>0.38</x:v>
      </x:c>
      <x:c r="M127" s="296" t="n">
        <x:v>0.07</x:v>
      </x:c>
      <x:c r="N127" s="233" t="n">
        <x:v>1</x:v>
      </x:c>
      <x:c r="O127" s="233" t="str">
        <x:v>DRAFT_ORDINAL_MAPPING</x:v>
      </x:c>
      <x:c r="P127" s="233" t="str">
        <x:v>VERIFIED</x:v>
      </x:c>
      <x:c r="Q127" s="235" t="str"/>
      <x:c r="R127" s="235" t="str"/>
      <x:c r="S127" s="233" t="str">
        <x:v>ILO_SCORE25</x:v>
      </x:c>
      <x:c r="T127" s="233" t="str">
        <x:v>WP140 online Annex, Table A1</x:v>
      </x:c>
      <x:c r="U127" s="235" t="str">
        <x:v>PENDING</x:v>
      </x:c>
      <x:c r="V127" s="235" t="str">
        <x:v>Codex</x:v>
      </x:c>
      <x:c r="W127" s="297" t="str">
        <x:v>KBJI–ISCO belum dipetakan; skor 0–5 adalah transformasi ordinal draft.</x:v>
      </x:c>
    </x:row>
    <x:row r="128">
      <x:c r="A128" s="293" t="str"/>
      <x:c r="B128" s="294" t="str"/>
      <x:c r="C128" s="235" t="str"/>
      <x:c r="D128" s="295" t="str">
        <x:v>2133</x:v>
      </x:c>
      <x:c r="E128" s="233" t="str">
        <x:v>Environmental Protection Professionals</x:v>
      </x:c>
      <x:c r="F128" s="233" t="str">
        <x:v>UNRESOLVED</x:v>
      </x:c>
      <x:c r="G128" s="233"/>
      <x:c r="H128" s="233" t="str"/>
      <x:c r="I128" s="233"/>
      <x:c r="J128" s="233" t="str">
        <x:v>PENDING</x:v>
      </x:c>
      <x:c r="K128" s="233" t="str">
        <x:v>Minimal Exposure</x:v>
      </x:c>
      <x:c r="L128" s="296" t="n">
        <x:v>0.38</x:v>
      </x:c>
      <x:c r="M128" s="296" t="n">
        <x:v>0.04</x:v>
      </x:c>
      <x:c r="N128" s="233" t="n">
        <x:v>1</x:v>
      </x:c>
      <x:c r="O128" s="233" t="str">
        <x:v>DRAFT_ORDINAL_MAPPING</x:v>
      </x:c>
      <x:c r="P128" s="233" t="str">
        <x:v>VERIFIED</x:v>
      </x:c>
      <x:c r="Q128" s="235" t="str"/>
      <x:c r="R128" s="235" t="str"/>
      <x:c r="S128" s="233" t="str">
        <x:v>ILO_SCORE25</x:v>
      </x:c>
      <x:c r="T128" s="233" t="str">
        <x:v>WP140 online Annex, Table A1</x:v>
      </x:c>
      <x:c r="U128" s="235" t="str">
        <x:v>PENDING</x:v>
      </x:c>
      <x:c r="V128" s="235" t="str">
        <x:v>Codex</x:v>
      </x:c>
      <x:c r="W128" s="297" t="str">
        <x:v>KBJI–ISCO belum dipetakan; skor 0–5 adalah transformasi ordinal draft.</x:v>
      </x:c>
    </x:row>
    <x:row r="129">
      <x:c r="A129" s="293" t="str"/>
      <x:c r="B129" s="294" t="str"/>
      <x:c r="C129" s="235" t="str"/>
      <x:c r="D129" s="295" t="str">
        <x:v>2143</x:v>
      </x:c>
      <x:c r="E129" s="233" t="str">
        <x:v>Environmental Engineers</x:v>
      </x:c>
      <x:c r="F129" s="233" t="str">
        <x:v>UNRESOLVED</x:v>
      </x:c>
      <x:c r="G129" s="233"/>
      <x:c r="H129" s="233" t="str"/>
      <x:c r="I129" s="233"/>
      <x:c r="J129" s="233" t="str">
        <x:v>PENDING</x:v>
      </x:c>
      <x:c r="K129" s="233" t="str">
        <x:v>Minimal Exposure</x:v>
      </x:c>
      <x:c r="L129" s="296" t="n">
        <x:v>0.38</x:v>
      </x:c>
      <x:c r="M129" s="296" t="n">
        <x:v>0.07</x:v>
      </x:c>
      <x:c r="N129" s="233" t="n">
        <x:v>1</x:v>
      </x:c>
      <x:c r="O129" s="233" t="str">
        <x:v>DRAFT_ORDINAL_MAPPING</x:v>
      </x:c>
      <x:c r="P129" s="233" t="str">
        <x:v>VERIFIED</x:v>
      </x:c>
      <x:c r="Q129" s="235" t="str"/>
      <x:c r="R129" s="235" t="str"/>
      <x:c r="S129" s="233" t="str">
        <x:v>ILO_SCORE25</x:v>
      </x:c>
      <x:c r="T129" s="233" t="str">
        <x:v>WP140 online Annex, Table A1</x:v>
      </x:c>
      <x:c r="U129" s="235" t="str">
        <x:v>PENDING</x:v>
      </x:c>
      <x:c r="V129" s="235" t="str">
        <x:v>Codex</x:v>
      </x:c>
      <x:c r="W129" s="297" t="str">
        <x:v>KBJI–ISCO belum dipetakan; skor 0–5 adalah transformasi ordinal draft.</x:v>
      </x:c>
    </x:row>
    <x:row r="130">
      <x:c r="A130" s="293" t="str"/>
      <x:c r="B130" s="294" t="str"/>
      <x:c r="C130" s="235" t="str"/>
      <x:c r="D130" s="295" t="str">
        <x:v>3114</x:v>
      </x:c>
      <x:c r="E130" s="233" t="str">
        <x:v>Electronics Engineering Technicians</x:v>
      </x:c>
      <x:c r="F130" s="233" t="str">
        <x:v>UNRESOLVED</x:v>
      </x:c>
      <x:c r="G130" s="233"/>
      <x:c r="H130" s="233" t="str"/>
      <x:c r="I130" s="233"/>
      <x:c r="J130" s="233" t="str">
        <x:v>PENDING</x:v>
      </x:c>
      <x:c r="K130" s="233" t="str">
        <x:v>Minimal Exposure</x:v>
      </x:c>
      <x:c r="L130" s="296" t="n">
        <x:v>0.38</x:v>
      </x:c>
      <x:c r="M130" s="296" t="n">
        <x:v>0.11</x:v>
      </x:c>
      <x:c r="N130" s="233" t="n">
        <x:v>1</x:v>
      </x:c>
      <x:c r="O130" s="233" t="str">
        <x:v>DRAFT_ORDINAL_MAPPING</x:v>
      </x:c>
      <x:c r="P130" s="233" t="str">
        <x:v>VERIFIED</x:v>
      </x:c>
      <x:c r="Q130" s="235" t="str"/>
      <x:c r="R130" s="235" t="str"/>
      <x:c r="S130" s="233" t="str">
        <x:v>ILO_SCORE25</x:v>
      </x:c>
      <x:c r="T130" s="233" t="str">
        <x:v>WP140 online Annex, Table A1</x:v>
      </x:c>
      <x:c r="U130" s="235" t="str">
        <x:v>PENDING</x:v>
      </x:c>
      <x:c r="V130" s="235" t="str">
        <x:v>Codex</x:v>
      </x:c>
      <x:c r="W130" s="297" t="str">
        <x:v>KBJI–ISCO belum dipetakan; skor 0–5 adalah transformasi ordinal draft.</x:v>
      </x:c>
    </x:row>
    <x:row r="131">
      <x:c r="A131" s="293" t="str"/>
      <x:c r="B131" s="294" t="str"/>
      <x:c r="C131" s="235" t="str"/>
      <x:c r="D131" s="295" t="str">
        <x:v>1114</x:v>
      </x:c>
      <x:c r="E131" s="233" t="str">
        <x:v>Senior Officials of Special-interest Organizations</x:v>
      </x:c>
      <x:c r="F131" s="233" t="str">
        <x:v>UNRESOLVED</x:v>
      </x:c>
      <x:c r="G131" s="233"/>
      <x:c r="H131" s="233" t="str"/>
      <x:c r="I131" s="233"/>
      <x:c r="J131" s="233" t="str">
        <x:v>PENDING</x:v>
      </x:c>
      <x:c r="K131" s="233" t="str">
        <x:v>Minimal Exposure</x:v>
      </x:c>
      <x:c r="L131" s="296" t="n">
        <x:v>0.37</x:v>
      </x:c>
      <x:c r="M131" s="296" t="n">
        <x:v>0.06</x:v>
      </x:c>
      <x:c r="N131" s="233" t="n">
        <x:v>1</x:v>
      </x:c>
      <x:c r="O131" s="233" t="str">
        <x:v>DRAFT_ORDINAL_MAPPING</x:v>
      </x:c>
      <x:c r="P131" s="233" t="str">
        <x:v>VERIFIED</x:v>
      </x:c>
      <x:c r="Q131" s="235" t="str"/>
      <x:c r="R131" s="235" t="str"/>
      <x:c r="S131" s="233" t="str">
        <x:v>ILO_SCORE25</x:v>
      </x:c>
      <x:c r="T131" s="233" t="str">
        <x:v>WP140 online Annex, Table A1</x:v>
      </x:c>
      <x:c r="U131" s="235" t="str">
        <x:v>PENDING</x:v>
      </x:c>
      <x:c r="V131" s="235" t="str">
        <x:v>Codex</x:v>
      </x:c>
      <x:c r="W131" s="297" t="str">
        <x:v>KBJI–ISCO belum dipetakan; skor 0–5 adalah transformasi ordinal draft.</x:v>
      </x:c>
    </x:row>
    <x:row r="132">
      <x:c r="A132" s="293" t="str"/>
      <x:c r="B132" s="294" t="str"/>
      <x:c r="C132" s="235" t="str"/>
      <x:c r="D132" s="295" t="str">
        <x:v>1211</x:v>
      </x:c>
      <x:c r="E132" s="233" t="str">
        <x:v>Finance Managers</x:v>
      </x:c>
      <x:c r="F132" s="233" t="str">
        <x:v>UNRESOLVED</x:v>
      </x:c>
      <x:c r="G132" s="233"/>
      <x:c r="H132" s="233" t="str"/>
      <x:c r="I132" s="233"/>
      <x:c r="J132" s="233" t="str">
        <x:v>PENDING</x:v>
      </x:c>
      <x:c r="K132" s="233" t="str">
        <x:v>Minimal Exposure</x:v>
      </x:c>
      <x:c r="L132" s="296" t="n">
        <x:v>0.37</x:v>
      </x:c>
      <x:c r="M132" s="296" t="n">
        <x:v>0.04</x:v>
      </x:c>
      <x:c r="N132" s="233" t="n">
        <x:v>1</x:v>
      </x:c>
      <x:c r="O132" s="233" t="str">
        <x:v>DRAFT_ORDINAL_MAPPING</x:v>
      </x:c>
      <x:c r="P132" s="233" t="str">
        <x:v>VERIFIED</x:v>
      </x:c>
      <x:c r="Q132" s="235" t="str"/>
      <x:c r="R132" s="235" t="str"/>
      <x:c r="S132" s="233" t="str">
        <x:v>ILO_SCORE25</x:v>
      </x:c>
      <x:c r="T132" s="233" t="str">
        <x:v>WP140 online Annex, Table A1</x:v>
      </x:c>
      <x:c r="U132" s="235" t="str">
        <x:v>PENDING</x:v>
      </x:c>
      <x:c r="V132" s="235" t="str">
        <x:v>Codex</x:v>
      </x:c>
      <x:c r="W132" s="297" t="str">
        <x:v>KBJI–ISCO belum dipetakan; skor 0–5 adalah transformasi ordinal draft.</x:v>
      </x:c>
    </x:row>
    <x:row r="133">
      <x:c r="A133" s="293" t="str"/>
      <x:c r="B133" s="294" t="str"/>
      <x:c r="C133" s="235" t="str"/>
      <x:c r="D133" s="295" t="str">
        <x:v>1344</x:v>
      </x:c>
      <x:c r="E133" s="233" t="str">
        <x:v>Social Welfare Managers</x:v>
      </x:c>
      <x:c r="F133" s="233" t="str">
        <x:v>UNRESOLVED</x:v>
      </x:c>
      <x:c r="G133" s="233"/>
      <x:c r="H133" s="233" t="str"/>
      <x:c r="I133" s="233"/>
      <x:c r="J133" s="233" t="str">
        <x:v>PENDING</x:v>
      </x:c>
      <x:c r="K133" s="233" t="str">
        <x:v>Minimal Exposure</x:v>
      </x:c>
      <x:c r="L133" s="296" t="n">
        <x:v>0.37</x:v>
      </x:c>
      <x:c r="M133" s="296" t="n">
        <x:v>0.07</x:v>
      </x:c>
      <x:c r="N133" s="233" t="n">
        <x:v>1</x:v>
      </x:c>
      <x:c r="O133" s="233" t="str">
        <x:v>DRAFT_ORDINAL_MAPPING</x:v>
      </x:c>
      <x:c r="P133" s="233" t="str">
        <x:v>VERIFIED</x:v>
      </x:c>
      <x:c r="Q133" s="235" t="str"/>
      <x:c r="R133" s="235" t="str"/>
      <x:c r="S133" s="233" t="str">
        <x:v>ILO_SCORE25</x:v>
      </x:c>
      <x:c r="T133" s="233" t="str">
        <x:v>WP140 online Annex, Table A1</x:v>
      </x:c>
      <x:c r="U133" s="235" t="str">
        <x:v>PENDING</x:v>
      </x:c>
      <x:c r="V133" s="235" t="str">
        <x:v>Codex</x:v>
      </x:c>
      <x:c r="W133" s="297" t="str">
        <x:v>KBJI–ISCO belum dipetakan; skor 0–5 adalah transformasi ordinal draft.</x:v>
      </x:c>
    </x:row>
    <x:row r="134">
      <x:c r="A134" s="293" t="str"/>
      <x:c r="B134" s="294" t="str"/>
      <x:c r="C134" s="235" t="str"/>
      <x:c r="D134" s="295" t="str">
        <x:v>2141</x:v>
      </x:c>
      <x:c r="E134" s="233" t="str">
        <x:v>Industrial and Production Engineers</x:v>
      </x:c>
      <x:c r="F134" s="233" t="str">
        <x:v>UNRESOLVED</x:v>
      </x:c>
      <x:c r="G134" s="233"/>
      <x:c r="H134" s="233" t="str"/>
      <x:c r="I134" s="233"/>
      <x:c r="J134" s="233" t="str">
        <x:v>PENDING</x:v>
      </x:c>
      <x:c r="K134" s="233" t="str">
        <x:v>Minimal Exposure</x:v>
      </x:c>
      <x:c r="L134" s="296" t="n">
        <x:v>0.37</x:v>
      </x:c>
      <x:c r="M134" s="296" t="n">
        <x:v>0.07</x:v>
      </x:c>
      <x:c r="N134" s="233" t="n">
        <x:v>1</x:v>
      </x:c>
      <x:c r="O134" s="233" t="str">
        <x:v>DRAFT_ORDINAL_MAPPING</x:v>
      </x:c>
      <x:c r="P134" s="233" t="str">
        <x:v>VERIFIED</x:v>
      </x:c>
      <x:c r="Q134" s="235" t="str"/>
      <x:c r="R134" s="235" t="str"/>
      <x:c r="S134" s="233" t="str">
        <x:v>ILO_SCORE25</x:v>
      </x:c>
      <x:c r="T134" s="233" t="str">
        <x:v>WP140 online Annex, Table A1</x:v>
      </x:c>
      <x:c r="U134" s="235" t="str">
        <x:v>PENDING</x:v>
      </x:c>
      <x:c r="V134" s="235" t="str">
        <x:v>Codex</x:v>
      </x:c>
      <x:c r="W134" s="297" t="str">
        <x:v>KBJI–ISCO belum dipetakan; skor 0–5 adalah transformasi ordinal draft.</x:v>
      </x:c>
    </x:row>
    <x:row r="135">
      <x:c r="A135" s="293" t="str"/>
      <x:c r="B135" s="294" t="str"/>
      <x:c r="C135" s="235" t="str"/>
      <x:c r="D135" s="295" t="str">
        <x:v>2161</x:v>
      </x:c>
      <x:c r="E135" s="233" t="str">
        <x:v>Building Architects</x:v>
      </x:c>
      <x:c r="F135" s="233" t="str">
        <x:v>UNRESOLVED</x:v>
      </x:c>
      <x:c r="G135" s="233"/>
      <x:c r="H135" s="233" t="str"/>
      <x:c r="I135" s="233"/>
      <x:c r="J135" s="233" t="str">
        <x:v>PENDING</x:v>
      </x:c>
      <x:c r="K135" s="233" t="str">
        <x:v>Minimal Exposure</x:v>
      </x:c>
      <x:c r="L135" s="296" t="n">
        <x:v>0.37</x:v>
      </x:c>
      <x:c r="M135" s="296" t="n">
        <x:v>0.08</x:v>
      </x:c>
      <x:c r="N135" s="233" t="n">
        <x:v>1</x:v>
      </x:c>
      <x:c r="O135" s="233" t="str">
        <x:v>DRAFT_ORDINAL_MAPPING</x:v>
      </x:c>
      <x:c r="P135" s="233" t="str">
        <x:v>VERIFIED</x:v>
      </x:c>
      <x:c r="Q135" s="235" t="str"/>
      <x:c r="R135" s="235" t="str"/>
      <x:c r="S135" s="233" t="str">
        <x:v>ILO_SCORE25</x:v>
      </x:c>
      <x:c r="T135" s="233" t="str">
        <x:v>WP140 online Annex, Table A1</x:v>
      </x:c>
      <x:c r="U135" s="235" t="str">
        <x:v>PENDING</x:v>
      </x:c>
      <x:c r="V135" s="235" t="str">
        <x:v>Codex</x:v>
      </x:c>
      <x:c r="W135" s="297" t="str">
        <x:v>KBJI–ISCO belum dipetakan; skor 0–5 adalah transformasi ordinal draft.</x:v>
      </x:c>
    </x:row>
    <x:row r="136">
      <x:c r="A136" s="293" t="str"/>
      <x:c r="B136" s="294" t="str"/>
      <x:c r="C136" s="235" t="str"/>
      <x:c r="D136" s="295" t="str">
        <x:v>2162</x:v>
      </x:c>
      <x:c r="E136" s="233" t="str">
        <x:v>Landscape Architects</x:v>
      </x:c>
      <x:c r="F136" s="233" t="str">
        <x:v>UNRESOLVED</x:v>
      </x:c>
      <x:c r="G136" s="233"/>
      <x:c r="H136" s="233" t="str"/>
      <x:c r="I136" s="233"/>
      <x:c r="J136" s="233" t="str">
        <x:v>PENDING</x:v>
      </x:c>
      <x:c r="K136" s="233" t="str">
        <x:v>Minimal Exposure</x:v>
      </x:c>
      <x:c r="L136" s="296" t="n">
        <x:v>0.37</x:v>
      </x:c>
      <x:c r="M136" s="296" t="n">
        <x:v>0.08</x:v>
      </x:c>
      <x:c r="N136" s="233" t="n">
        <x:v>1</x:v>
      </x:c>
      <x:c r="O136" s="233" t="str">
        <x:v>DRAFT_ORDINAL_MAPPING</x:v>
      </x:c>
      <x:c r="P136" s="233" t="str">
        <x:v>VERIFIED</x:v>
      </x:c>
      <x:c r="Q136" s="235" t="str"/>
      <x:c r="R136" s="235" t="str"/>
      <x:c r="S136" s="233" t="str">
        <x:v>ILO_SCORE25</x:v>
      </x:c>
      <x:c r="T136" s="233" t="str">
        <x:v>WP140 online Annex, Table A1</x:v>
      </x:c>
      <x:c r="U136" s="235" t="str">
        <x:v>PENDING</x:v>
      </x:c>
      <x:c r="V136" s="235" t="str">
        <x:v>Codex</x:v>
      </x:c>
      <x:c r="W136" s="297" t="str">
        <x:v>KBJI–ISCO belum dipetakan; skor 0–5 adalah transformasi ordinal draft.</x:v>
      </x:c>
    </x:row>
    <x:row r="137">
      <x:c r="A137" s="293" t="str"/>
      <x:c r="B137" s="294" t="str"/>
      <x:c r="C137" s="235" t="str"/>
      <x:c r="D137" s="295" t="str">
        <x:v>2310</x:v>
      </x:c>
      <x:c r="E137" s="233" t="str">
        <x:v>University and Higher Education Teachers</x:v>
      </x:c>
      <x:c r="F137" s="233" t="str">
        <x:v>UNRESOLVED</x:v>
      </x:c>
      <x:c r="G137" s="233"/>
      <x:c r="H137" s="233" t="str"/>
      <x:c r="I137" s="233"/>
      <x:c r="J137" s="233" t="str">
        <x:v>PENDING</x:v>
      </x:c>
      <x:c r="K137" s="233" t="str">
        <x:v>Minimal Exposure</x:v>
      </x:c>
      <x:c r="L137" s="296" t="n">
        <x:v>0.37</x:v>
      </x:c>
      <x:c r="M137" s="296" t="n">
        <x:v>0.12</x:v>
      </x:c>
      <x:c r="N137" s="233" t="n">
        <x:v>1</x:v>
      </x:c>
      <x:c r="O137" s="233" t="str">
        <x:v>DRAFT_ORDINAL_MAPPING</x:v>
      </x:c>
      <x:c r="P137" s="233" t="str">
        <x:v>VERIFIED</x:v>
      </x:c>
      <x:c r="Q137" s="235" t="str"/>
      <x:c r="R137" s="235" t="str"/>
      <x:c r="S137" s="233" t="str">
        <x:v>ILO_SCORE25</x:v>
      </x:c>
      <x:c r="T137" s="233" t="str">
        <x:v>WP140 online Annex, Table A1</x:v>
      </x:c>
      <x:c r="U137" s="235" t="str">
        <x:v>PENDING</x:v>
      </x:c>
      <x:c r="V137" s="235" t="str">
        <x:v>Codex</x:v>
      </x:c>
      <x:c r="W137" s="297" t="str">
        <x:v>KBJI–ISCO belum dipetakan; skor 0–5 adalah transformasi ordinal draft.</x:v>
      </x:c>
    </x:row>
    <x:row r="138">
      <x:c r="A138" s="293" t="str"/>
      <x:c r="B138" s="294" t="str"/>
      <x:c r="C138" s="235" t="str"/>
      <x:c r="D138" s="295" t="str">
        <x:v>2619</x:v>
      </x:c>
      <x:c r="E138" s="233" t="str">
        <x:v>Legal Professionals Not Elsewhere Classified</x:v>
      </x:c>
      <x:c r="F138" s="233" t="str">
        <x:v>UNRESOLVED</x:v>
      </x:c>
      <x:c r="G138" s="233"/>
      <x:c r="H138" s="233" t="str"/>
      <x:c r="I138" s="233"/>
      <x:c r="J138" s="233" t="str">
        <x:v>PENDING</x:v>
      </x:c>
      <x:c r="K138" s="233" t="str">
        <x:v>Minimal Exposure</x:v>
      </x:c>
      <x:c r="L138" s="296" t="n">
        <x:v>0.37</x:v>
      </x:c>
      <x:c r="M138" s="296" t="n">
        <x:v>0.09</x:v>
      </x:c>
      <x:c r="N138" s="233" t="n">
        <x:v>1</x:v>
      </x:c>
      <x:c r="O138" s="233" t="str">
        <x:v>DRAFT_ORDINAL_MAPPING</x:v>
      </x:c>
      <x:c r="P138" s="233" t="str">
        <x:v>VERIFIED</x:v>
      </x:c>
      <x:c r="Q138" s="235" t="str"/>
      <x:c r="R138" s="235" t="str"/>
      <x:c r="S138" s="233" t="str">
        <x:v>ILO_SCORE25</x:v>
      </x:c>
      <x:c r="T138" s="233" t="str">
        <x:v>WP140 online Annex, Table A1</x:v>
      </x:c>
      <x:c r="U138" s="235" t="str">
        <x:v>PENDING</x:v>
      </x:c>
      <x:c r="V138" s="235" t="str">
        <x:v>Codex</x:v>
      </x:c>
      <x:c r="W138" s="297" t="str">
        <x:v>KBJI–ISCO belum dipetakan; skor 0–5 adalah transformasi ordinal draft.</x:v>
      </x:c>
    </x:row>
    <x:row r="139">
      <x:c r="A139" s="293" t="str"/>
      <x:c r="B139" s="294" t="str"/>
      <x:c r="C139" s="235" t="str"/>
      <x:c r="D139" s="295" t="str">
        <x:v>2654</x:v>
      </x:c>
      <x:c r="E139" s="233" t="str">
        <x:v>Film, Stage and Related Directors and Producers</x:v>
      </x:c>
      <x:c r="F139" s="233" t="str">
        <x:v>UNRESOLVED</x:v>
      </x:c>
      <x:c r="G139" s="233"/>
      <x:c r="H139" s="233" t="str"/>
      <x:c r="I139" s="233"/>
      <x:c r="J139" s="233" t="str">
        <x:v>PENDING</x:v>
      </x:c>
      <x:c r="K139" s="233" t="str">
        <x:v>Minimal Exposure</x:v>
      </x:c>
      <x:c r="L139" s="296" t="n">
        <x:v>0.37</x:v>
      </x:c>
      <x:c r="M139" s="296" t="n">
        <x:v>0.07</x:v>
      </x:c>
      <x:c r="N139" s="233" t="n">
        <x:v>1</x:v>
      </x:c>
      <x:c r="O139" s="233" t="str">
        <x:v>DRAFT_ORDINAL_MAPPING</x:v>
      </x:c>
      <x:c r="P139" s="233" t="str">
        <x:v>VERIFIED</x:v>
      </x:c>
      <x:c r="Q139" s="235" t="str"/>
      <x:c r="R139" s="235" t="str"/>
      <x:c r="S139" s="233" t="str">
        <x:v>ILO_SCORE25</x:v>
      </x:c>
      <x:c r="T139" s="233" t="str">
        <x:v>WP140 online Annex, Table A1</x:v>
      </x:c>
      <x:c r="U139" s="235" t="str">
        <x:v>PENDING</x:v>
      </x:c>
      <x:c r="V139" s="235" t="str">
        <x:v>Codex</x:v>
      </x:c>
      <x:c r="W139" s="297" t="str">
        <x:v>KBJI–ISCO belum dipetakan; skor 0–5 adalah transformasi ordinal draft.</x:v>
      </x:c>
    </x:row>
    <x:row r="140">
      <x:c r="A140" s="293" t="str"/>
      <x:c r="B140" s="294" t="str"/>
      <x:c r="C140" s="235" t="str"/>
      <x:c r="D140" s="295" t="str">
        <x:v>3422</x:v>
      </x:c>
      <x:c r="E140" s="233" t="str">
        <x:v>Sports Coaches, Instructors and Officials</x:v>
      </x:c>
      <x:c r="F140" s="233" t="str">
        <x:v>UNRESOLVED</x:v>
      </x:c>
      <x:c r="G140" s="233"/>
      <x:c r="H140" s="233" t="str"/>
      <x:c r="I140" s="233"/>
      <x:c r="J140" s="233" t="str">
        <x:v>PENDING</x:v>
      </x:c>
      <x:c r="K140" s="233" t="str">
        <x:v>Minimal Exposure</x:v>
      </x:c>
      <x:c r="L140" s="296" t="n">
        <x:v>0.37</x:v>
      </x:c>
      <x:c r="M140" s="296" t="n">
        <x:v>0.12</x:v>
      </x:c>
      <x:c r="N140" s="233" t="n">
        <x:v>1</x:v>
      </x:c>
      <x:c r="O140" s="233" t="str">
        <x:v>DRAFT_ORDINAL_MAPPING</x:v>
      </x:c>
      <x:c r="P140" s="233" t="str">
        <x:v>VERIFIED</x:v>
      </x:c>
      <x:c r="Q140" s="235" t="str"/>
      <x:c r="R140" s="235" t="str"/>
      <x:c r="S140" s="233" t="str">
        <x:v>ILO_SCORE25</x:v>
      </x:c>
      <x:c r="T140" s="233" t="str">
        <x:v>WP140 online Annex, Table A1</x:v>
      </x:c>
      <x:c r="U140" s="235" t="str">
        <x:v>PENDING</x:v>
      </x:c>
      <x:c r="V140" s="235" t="str">
        <x:v>Codex</x:v>
      </x:c>
      <x:c r="W140" s="297" t="str">
        <x:v>KBJI–ISCO belum dipetakan; skor 0–5 adalah transformasi ordinal draft.</x:v>
      </x:c>
    </x:row>
    <x:row r="141">
      <x:c r="A141" s="293" t="str"/>
      <x:c r="B141" s="294" t="str"/>
      <x:c r="C141" s="235" t="str"/>
      <x:c r="D141" s="295" t="str">
        <x:v>3432</x:v>
      </x:c>
      <x:c r="E141" s="233" t="str">
        <x:v>Interior Designers and Decorators</x:v>
      </x:c>
      <x:c r="F141" s="233" t="str">
        <x:v>UNRESOLVED</x:v>
      </x:c>
      <x:c r="G141" s="233"/>
      <x:c r="H141" s="233" t="str"/>
      <x:c r="I141" s="233"/>
      <x:c r="J141" s="233" t="str">
        <x:v>PENDING</x:v>
      </x:c>
      <x:c r="K141" s="233" t="str">
        <x:v>Minimal Exposure</x:v>
      </x:c>
      <x:c r="L141" s="296" t="n">
        <x:v>0.37</x:v>
      </x:c>
      <x:c r="M141" s="296" t="n">
        <x:v>0.08</x:v>
      </x:c>
      <x:c r="N141" s="233" t="n">
        <x:v>1</x:v>
      </x:c>
      <x:c r="O141" s="233" t="str">
        <x:v>DRAFT_ORDINAL_MAPPING</x:v>
      </x:c>
      <x:c r="P141" s="233" t="str">
        <x:v>VERIFIED</x:v>
      </x:c>
      <x:c r="Q141" s="235" t="str"/>
      <x:c r="R141" s="235" t="str"/>
      <x:c r="S141" s="233" t="str">
        <x:v>ILO_SCORE25</x:v>
      </x:c>
      <x:c r="T141" s="233" t="str">
        <x:v>WP140 online Annex, Table A1</x:v>
      </x:c>
      <x:c r="U141" s="235" t="str">
        <x:v>PENDING</x:v>
      </x:c>
      <x:c r="V141" s="235" t="str">
        <x:v>Codex</x:v>
      </x:c>
      <x:c r="W141" s="297" t="str">
        <x:v>KBJI–ISCO belum dipetakan; skor 0–5 adalah transformasi ordinal draft.</x:v>
      </x:c>
    </x:row>
    <x:row r="142">
      <x:c r="A142" s="293" t="str"/>
      <x:c r="B142" s="294" t="str"/>
      <x:c r="C142" s="235" t="str"/>
      <x:c r="D142" s="295" t="str">
        <x:v>4321</x:v>
      </x:c>
      <x:c r="E142" s="233" t="str">
        <x:v>Stock Clerks</x:v>
      </x:c>
      <x:c r="F142" s="233" t="str">
        <x:v>UNRESOLVED</x:v>
      </x:c>
      <x:c r="G142" s="233"/>
      <x:c r="H142" s="233" t="str"/>
      <x:c r="I142" s="233"/>
      <x:c r="J142" s="233" t="str">
        <x:v>PENDING</x:v>
      </x:c>
      <x:c r="K142" s="233" t="str">
        <x:v>Minimal Exposure</x:v>
      </x:c>
      <x:c r="L142" s="296" t="n">
        <x:v>0.37</x:v>
      </x:c>
      <x:c r="M142" s="296" t="n">
        <x:v>0.06</x:v>
      </x:c>
      <x:c r="N142" s="233" t="n">
        <x:v>1</x:v>
      </x:c>
      <x:c r="O142" s="233" t="str">
        <x:v>DRAFT_ORDINAL_MAPPING</x:v>
      </x:c>
      <x:c r="P142" s="233" t="str">
        <x:v>VERIFIED</x:v>
      </x:c>
      <x:c r="Q142" s="235" t="str"/>
      <x:c r="R142" s="235" t="str"/>
      <x:c r="S142" s="233" t="str">
        <x:v>ILO_SCORE25</x:v>
      </x:c>
      <x:c r="T142" s="233" t="str">
        <x:v>WP140 online Annex, Table A1</x:v>
      </x:c>
      <x:c r="U142" s="235" t="str">
        <x:v>PENDING</x:v>
      </x:c>
      <x:c r="V142" s="235" t="str">
        <x:v>Codex</x:v>
      </x:c>
      <x:c r="W142" s="297" t="str">
        <x:v>KBJI–ISCO belum dipetakan; skor 0–5 adalah transformasi ordinal draft.</x:v>
      </x:c>
    </x:row>
    <x:row r="143">
      <x:c r="A143" s="293" t="str"/>
      <x:c r="B143" s="294" t="str"/>
      <x:c r="C143" s="235" t="str"/>
      <x:c r="D143" s="295" t="str">
        <x:v>1212</x:v>
      </x:c>
      <x:c r="E143" s="233" t="str">
        <x:v>Human Resource Managers</x:v>
      </x:c>
      <x:c r="F143" s="233" t="str">
        <x:v>UNRESOLVED</x:v>
      </x:c>
      <x:c r="G143" s="233"/>
      <x:c r="H143" s="233" t="str"/>
      <x:c r="I143" s="233"/>
      <x:c r="J143" s="233" t="str">
        <x:v>PENDING</x:v>
      </x:c>
      <x:c r="K143" s="233" t="str">
        <x:v>Minimal Exposure</x:v>
      </x:c>
      <x:c r="L143" s="296" t="n">
        <x:v>0.36</x:v>
      </x:c>
      <x:c r="M143" s="296" t="n">
        <x:v>0.05</x:v>
      </x:c>
      <x:c r="N143" s="233" t="n">
        <x:v>1</x:v>
      </x:c>
      <x:c r="O143" s="233" t="str">
        <x:v>DRAFT_ORDINAL_MAPPING</x:v>
      </x:c>
      <x:c r="P143" s="233" t="str">
        <x:v>VERIFIED</x:v>
      </x:c>
      <x:c r="Q143" s="235" t="str"/>
      <x:c r="R143" s="235" t="str"/>
      <x:c r="S143" s="233" t="str">
        <x:v>ILO_SCORE25</x:v>
      </x:c>
      <x:c r="T143" s="233" t="str">
        <x:v>WP140 online Annex, Table A1</x:v>
      </x:c>
      <x:c r="U143" s="235" t="str">
        <x:v>PENDING</x:v>
      </x:c>
      <x:c r="V143" s="235" t="str">
        <x:v>Codex</x:v>
      </x:c>
      <x:c r="W143" s="297" t="str">
        <x:v>KBJI–ISCO belum dipetakan; skor 0–5 adalah transformasi ordinal draft.</x:v>
      </x:c>
    </x:row>
    <x:row r="144">
      <x:c r="A144" s="293" t="str"/>
      <x:c r="B144" s="294" t="str"/>
      <x:c r="C144" s="235" t="str"/>
      <x:c r="D144" s="295" t="str">
        <x:v>1342</x:v>
      </x:c>
      <x:c r="E144" s="233" t="str">
        <x:v>Health Service Managers</x:v>
      </x:c>
      <x:c r="F144" s="233" t="str">
        <x:v>UNRESOLVED</x:v>
      </x:c>
      <x:c r="G144" s="233"/>
      <x:c r="H144" s="233" t="str"/>
      <x:c r="I144" s="233"/>
      <x:c r="J144" s="233" t="str">
        <x:v>PENDING</x:v>
      </x:c>
      <x:c r="K144" s="233" t="str">
        <x:v>Minimal Exposure</x:v>
      </x:c>
      <x:c r="L144" s="296" t="n">
        <x:v>0.36</x:v>
      </x:c>
      <x:c r="M144" s="296" t="n">
        <x:v>0.05</x:v>
      </x:c>
      <x:c r="N144" s="233" t="n">
        <x:v>1</x:v>
      </x:c>
      <x:c r="O144" s="233" t="str">
        <x:v>DRAFT_ORDINAL_MAPPING</x:v>
      </x:c>
      <x:c r="P144" s="233" t="str">
        <x:v>VERIFIED</x:v>
      </x:c>
      <x:c r="Q144" s="235" t="str"/>
      <x:c r="R144" s="235" t="str"/>
      <x:c r="S144" s="233" t="str">
        <x:v>ILO_SCORE25</x:v>
      </x:c>
      <x:c r="T144" s="233" t="str">
        <x:v>WP140 online Annex, Table A1</x:v>
      </x:c>
      <x:c r="U144" s="235" t="str">
        <x:v>PENDING</x:v>
      </x:c>
      <x:c r="V144" s="235" t="str">
        <x:v>Codex</x:v>
      </x:c>
      <x:c r="W144" s="297" t="str">
        <x:v>KBJI–ISCO belum dipetakan; skor 0–5 adalah transformasi ordinal draft.</x:v>
      </x:c>
    </x:row>
    <x:row r="145">
      <x:c r="A145" s="293" t="str"/>
      <x:c r="B145" s="294" t="str"/>
      <x:c r="C145" s="235" t="str"/>
      <x:c r="D145" s="295" t="str">
        <x:v>1345</x:v>
      </x:c>
      <x:c r="E145" s="233" t="str">
        <x:v>Education Managers</x:v>
      </x:c>
      <x:c r="F145" s="233" t="str">
        <x:v>UNRESOLVED</x:v>
      </x:c>
      <x:c r="G145" s="233"/>
      <x:c r="H145" s="233" t="str"/>
      <x:c r="I145" s="233"/>
      <x:c r="J145" s="233" t="str">
        <x:v>PENDING</x:v>
      </x:c>
      <x:c r="K145" s="233" t="str">
        <x:v>Minimal Exposure</x:v>
      </x:c>
      <x:c r="L145" s="296" t="n">
        <x:v>0.36</x:v>
      </x:c>
      <x:c r="M145" s="296" t="n">
        <x:v>0.1</x:v>
      </x:c>
      <x:c r="N145" s="233" t="n">
        <x:v>1</x:v>
      </x:c>
      <x:c r="O145" s="233" t="str">
        <x:v>DRAFT_ORDINAL_MAPPING</x:v>
      </x:c>
      <x:c r="P145" s="233" t="str">
        <x:v>VERIFIED</x:v>
      </x:c>
      <x:c r="Q145" s="235" t="str"/>
      <x:c r="R145" s="235" t="str"/>
      <x:c r="S145" s="233" t="str">
        <x:v>ILO_SCORE25</x:v>
      </x:c>
      <x:c r="T145" s="233" t="str">
        <x:v>WP140 online Annex, Table A1</x:v>
      </x:c>
      <x:c r="U145" s="235" t="str">
        <x:v>PENDING</x:v>
      </x:c>
      <x:c r="V145" s="235" t="str">
        <x:v>Codex</x:v>
      </x:c>
      <x:c r="W145" s="297" t="str">
        <x:v>KBJI–ISCO belum dipetakan; skor 0–5 adalah transformasi ordinal draft.</x:v>
      </x:c>
    </x:row>
    <x:row r="146">
      <x:c r="A146" s="293" t="str"/>
      <x:c r="B146" s="294" t="str"/>
      <x:c r="C146" s="235" t="str"/>
      <x:c r="D146" s="295" t="str">
        <x:v>1412</x:v>
      </x:c>
      <x:c r="E146" s="233" t="str">
        <x:v>Restaurant Managers</x:v>
      </x:c>
      <x:c r="F146" s="233" t="str">
        <x:v>UNRESOLVED</x:v>
      </x:c>
      <x:c r="G146" s="233"/>
      <x:c r="H146" s="233" t="str"/>
      <x:c r="I146" s="233"/>
      <x:c r="J146" s="233" t="str">
        <x:v>PENDING</x:v>
      </x:c>
      <x:c r="K146" s="233" t="str">
        <x:v>Minimal Exposure</x:v>
      </x:c>
      <x:c r="L146" s="296" t="n">
        <x:v>0.36</x:v>
      </x:c>
      <x:c r="M146" s="296" t="n">
        <x:v>0.12</x:v>
      </x:c>
      <x:c r="N146" s="233" t="n">
        <x:v>1</x:v>
      </x:c>
      <x:c r="O146" s="233" t="str">
        <x:v>DRAFT_ORDINAL_MAPPING</x:v>
      </x:c>
      <x:c r="P146" s="233" t="str">
        <x:v>VERIFIED</x:v>
      </x:c>
      <x:c r="Q146" s="235" t="str"/>
      <x:c r="R146" s="235" t="str"/>
      <x:c r="S146" s="233" t="str">
        <x:v>ILO_SCORE25</x:v>
      </x:c>
      <x:c r="T146" s="233" t="str">
        <x:v>WP140 online Annex, Table A1</x:v>
      </x:c>
      <x:c r="U146" s="235" t="str">
        <x:v>PENDING</x:v>
      </x:c>
      <x:c r="V146" s="235" t="str">
        <x:v>Codex</x:v>
      </x:c>
      <x:c r="W146" s="297" t="str">
        <x:v>KBJI–ISCO belum dipetakan; skor 0–5 adalah transformasi ordinal draft.</x:v>
      </x:c>
    </x:row>
    <x:row r="147">
      <x:c r="A147" s="293" t="str"/>
      <x:c r="B147" s="294" t="str"/>
      <x:c r="C147" s="235" t="str"/>
      <x:c r="D147" s="295" t="str">
        <x:v>2114</x:v>
      </x:c>
      <x:c r="E147" s="233" t="str">
        <x:v>Geologists and geophysicists</x:v>
      </x:c>
      <x:c r="F147" s="233" t="str">
        <x:v>UNRESOLVED</x:v>
      </x:c>
      <x:c r="G147" s="233"/>
      <x:c r="H147" s="233" t="str"/>
      <x:c r="I147" s="233"/>
      <x:c r="J147" s="233" t="str">
        <x:v>PENDING</x:v>
      </x:c>
      <x:c r="K147" s="233" t="str">
        <x:v>Minimal Exposure</x:v>
      </x:c>
      <x:c r="L147" s="296" t="n">
        <x:v>0.36</x:v>
      </x:c>
      <x:c r="M147" s="296" t="n">
        <x:v>0.1</x:v>
      </x:c>
      <x:c r="N147" s="233" t="n">
        <x:v>1</x:v>
      </x:c>
      <x:c r="O147" s="233" t="str">
        <x:v>DRAFT_ORDINAL_MAPPING</x:v>
      </x:c>
      <x:c r="P147" s="233" t="str">
        <x:v>VERIFIED</x:v>
      </x:c>
      <x:c r="Q147" s="235" t="str"/>
      <x:c r="R147" s="235" t="str"/>
      <x:c r="S147" s="233" t="str">
        <x:v>ILO_SCORE25</x:v>
      </x:c>
      <x:c r="T147" s="233" t="str">
        <x:v>WP140 online Annex, Table A1</x:v>
      </x:c>
      <x:c r="U147" s="235" t="str">
        <x:v>PENDING</x:v>
      </x:c>
      <x:c r="V147" s="235" t="str">
        <x:v>Codex</x:v>
      </x:c>
      <x:c r="W147" s="297" t="str">
        <x:v>KBJI–ISCO belum dipetakan; skor 0–5 adalah transformasi ordinal draft.</x:v>
      </x:c>
    </x:row>
    <x:row r="148">
      <x:c r="A148" s="293" t="str"/>
      <x:c r="B148" s="294" t="str"/>
      <x:c r="C148" s="235" t="str"/>
      <x:c r="D148" s="295" t="str">
        <x:v>2611</x:v>
      </x:c>
      <x:c r="E148" s="233" t="str">
        <x:v>Lawyers</x:v>
      </x:c>
      <x:c r="F148" s="233" t="str">
        <x:v>UNRESOLVED</x:v>
      </x:c>
      <x:c r="G148" s="233"/>
      <x:c r="H148" s="233" t="str"/>
      <x:c r="I148" s="233"/>
      <x:c r="J148" s="233" t="str">
        <x:v>PENDING</x:v>
      </x:c>
      <x:c r="K148" s="233" t="str">
        <x:v>Minimal Exposure</x:v>
      </x:c>
      <x:c r="L148" s="296" t="n">
        <x:v>0.36</x:v>
      </x:c>
      <x:c r="M148" s="296" t="n">
        <x:v>0.09</x:v>
      </x:c>
      <x:c r="N148" s="233" t="n">
        <x:v>1</x:v>
      </x:c>
      <x:c r="O148" s="233" t="str">
        <x:v>DRAFT_ORDINAL_MAPPING</x:v>
      </x:c>
      <x:c r="P148" s="233" t="str">
        <x:v>VERIFIED</x:v>
      </x:c>
      <x:c r="Q148" s="235" t="str"/>
      <x:c r="R148" s="235" t="str"/>
      <x:c r="S148" s="233" t="str">
        <x:v>ILO_SCORE25</x:v>
      </x:c>
      <x:c r="T148" s="233" t="str">
        <x:v>WP140 online Annex, Table A1</x:v>
      </x:c>
      <x:c r="U148" s="235" t="str">
        <x:v>PENDING</x:v>
      </x:c>
      <x:c r="V148" s="235" t="str">
        <x:v>Codex</x:v>
      </x:c>
      <x:c r="W148" s="297" t="str">
        <x:v>KBJI–ISCO belum dipetakan; skor 0–5 adalah transformasi ordinal draft.</x:v>
      </x:c>
    </x:row>
    <x:row r="149">
      <x:c r="A149" s="293" t="str"/>
      <x:c r="B149" s="294" t="str"/>
      <x:c r="C149" s="235" t="str"/>
      <x:c r="D149" s="295" t="str">
        <x:v>3359</x:v>
      </x:c>
      <x:c r="E149" s="233" t="str">
        <x:v>Government Regulatory AssociatePprofessionals Not Elsewhere Classified</x:v>
      </x:c>
      <x:c r="F149" s="233" t="str">
        <x:v>UNRESOLVED</x:v>
      </x:c>
      <x:c r="G149" s="233"/>
      <x:c r="H149" s="233" t="str"/>
      <x:c r="I149" s="233"/>
      <x:c r="J149" s="233" t="str">
        <x:v>PENDING</x:v>
      </x:c>
      <x:c r="K149" s="233" t="str">
        <x:v>Minimal Exposure</x:v>
      </x:c>
      <x:c r="L149" s="296" t="n">
        <x:v>0.36</x:v>
      </x:c>
      <x:c r="M149" s="296" t="n">
        <x:v>0.1</x:v>
      </x:c>
      <x:c r="N149" s="233" t="n">
        <x:v>1</x:v>
      </x:c>
      <x:c r="O149" s="233" t="str">
        <x:v>DRAFT_ORDINAL_MAPPING</x:v>
      </x:c>
      <x:c r="P149" s="233" t="str">
        <x:v>VERIFIED</x:v>
      </x:c>
      <x:c r="Q149" s="235" t="str"/>
      <x:c r="R149" s="235" t="str"/>
      <x:c r="S149" s="233" t="str">
        <x:v>ILO_SCORE25</x:v>
      </x:c>
      <x:c r="T149" s="233" t="str">
        <x:v>WP140 online Annex, Table A1</x:v>
      </x:c>
      <x:c r="U149" s="235" t="str">
        <x:v>PENDING</x:v>
      </x:c>
      <x:c r="V149" s="235" t="str">
        <x:v>Codex</x:v>
      </x:c>
      <x:c r="W149" s="297" t="str">
        <x:v>KBJI–ISCO belum dipetakan; skor 0–5 adalah transformasi ordinal draft.</x:v>
      </x:c>
    </x:row>
    <x:row r="150">
      <x:c r="A150" s="293" t="str"/>
      <x:c r="B150" s="294" t="str"/>
      <x:c r="C150" s="235" t="str"/>
      <x:c r="D150" s="295" t="str">
        <x:v>5222</x:v>
      </x:c>
      <x:c r="E150" s="233" t="str">
        <x:v>Shop Supervisors</x:v>
      </x:c>
      <x:c r="F150" s="233" t="str">
        <x:v>UNRESOLVED</x:v>
      </x:c>
      <x:c r="G150" s="233"/>
      <x:c r="H150" s="233" t="str"/>
      <x:c r="I150" s="233"/>
      <x:c r="J150" s="233" t="str">
        <x:v>PENDING</x:v>
      </x:c>
      <x:c r="K150" s="233" t="str">
        <x:v>Minimal Exposure</x:v>
      </x:c>
      <x:c r="L150" s="296" t="n">
        <x:v>0.36</x:v>
      </x:c>
      <x:c r="M150" s="296" t="n">
        <x:v>0.12</x:v>
      </x:c>
      <x:c r="N150" s="233" t="n">
        <x:v>1</x:v>
      </x:c>
      <x:c r="O150" s="233" t="str">
        <x:v>DRAFT_ORDINAL_MAPPING</x:v>
      </x:c>
      <x:c r="P150" s="233" t="str">
        <x:v>VERIFIED</x:v>
      </x:c>
      <x:c r="Q150" s="235" t="str"/>
      <x:c r="R150" s="235" t="str"/>
      <x:c r="S150" s="233" t="str">
        <x:v>ILO_SCORE25</x:v>
      </x:c>
      <x:c r="T150" s="233" t="str">
        <x:v>WP140 online Annex, Table A1</x:v>
      </x:c>
      <x:c r="U150" s="235" t="str">
        <x:v>PENDING</x:v>
      </x:c>
      <x:c r="V150" s="235" t="str">
        <x:v>Codex</x:v>
      </x:c>
      <x:c r="W150" s="297" t="str">
        <x:v>KBJI–ISCO belum dipetakan; skor 0–5 adalah transformasi ordinal draft.</x:v>
      </x:c>
    </x:row>
    <x:row r="151">
      <x:c r="A151" s="293" t="str"/>
      <x:c r="B151" s="294" t="str"/>
      <x:c r="C151" s="235" t="str"/>
      <x:c r="D151" s="295" t="str">
        <x:v>1322</x:v>
      </x:c>
      <x:c r="E151" s="233" t="str">
        <x:v>Mining Managers</x:v>
      </x:c>
      <x:c r="F151" s="233" t="str">
        <x:v>UNRESOLVED</x:v>
      </x:c>
      <x:c r="G151" s="233"/>
      <x:c r="H151" s="233" t="str"/>
      <x:c r="I151" s="233"/>
      <x:c r="J151" s="233" t="str">
        <x:v>PENDING</x:v>
      </x:c>
      <x:c r="K151" s="233" t="str">
        <x:v>Minimal Exposure</x:v>
      </x:c>
      <x:c r="L151" s="296" t="n">
        <x:v>0.35</x:v>
      </x:c>
      <x:c r="M151" s="296" t="n">
        <x:v>0.11</x:v>
      </x:c>
      <x:c r="N151" s="233" t="n">
        <x:v>1</x:v>
      </x:c>
      <x:c r="O151" s="233" t="str">
        <x:v>DRAFT_ORDINAL_MAPPING</x:v>
      </x:c>
      <x:c r="P151" s="233" t="str">
        <x:v>VERIFIED</x:v>
      </x:c>
      <x:c r="Q151" s="235" t="str"/>
      <x:c r="R151" s="235" t="str"/>
      <x:c r="S151" s="233" t="str">
        <x:v>ILO_SCORE25</x:v>
      </x:c>
      <x:c r="T151" s="233" t="str">
        <x:v>WP140 online Annex, Table A1</x:v>
      </x:c>
      <x:c r="U151" s="235" t="str">
        <x:v>PENDING</x:v>
      </x:c>
      <x:c r="V151" s="235" t="str">
        <x:v>Codex</x:v>
      </x:c>
      <x:c r="W151" s="297" t="str">
        <x:v>KBJI–ISCO belum dipetakan; skor 0–5 adalah transformasi ordinal draft.</x:v>
      </x:c>
    </x:row>
    <x:row r="152">
      <x:c r="A152" s="293" t="str"/>
      <x:c r="B152" s="294" t="str"/>
      <x:c r="C152" s="235" t="str"/>
      <x:c r="D152" s="295" t="str">
        <x:v>2145</x:v>
      </x:c>
      <x:c r="E152" s="233" t="str">
        <x:v>Chemical Engineers</x:v>
      </x:c>
      <x:c r="F152" s="233" t="str">
        <x:v>UNRESOLVED</x:v>
      </x:c>
      <x:c r="G152" s="233"/>
      <x:c r="H152" s="233" t="str"/>
      <x:c r="I152" s="233"/>
      <x:c r="J152" s="233" t="str">
        <x:v>PENDING</x:v>
      </x:c>
      <x:c r="K152" s="233" t="str">
        <x:v>Minimal Exposure</x:v>
      </x:c>
      <x:c r="L152" s="296" t="n">
        <x:v>0.35</x:v>
      </x:c>
      <x:c r="M152" s="296" t="n">
        <x:v>0.12</x:v>
      </x:c>
      <x:c r="N152" s="233" t="n">
        <x:v>1</x:v>
      </x:c>
      <x:c r="O152" s="233" t="str">
        <x:v>DRAFT_ORDINAL_MAPPING</x:v>
      </x:c>
      <x:c r="P152" s="233" t="str">
        <x:v>VERIFIED</x:v>
      </x:c>
      <x:c r="Q152" s="235" t="str"/>
      <x:c r="R152" s="235" t="str"/>
      <x:c r="S152" s="233" t="str">
        <x:v>ILO_SCORE25</x:v>
      </x:c>
      <x:c r="T152" s="233" t="str">
        <x:v>WP140 online Annex, Table A1</x:v>
      </x:c>
      <x:c r="U152" s="235" t="str">
        <x:v>PENDING</x:v>
      </x:c>
      <x:c r="V152" s="235" t="str">
        <x:v>Codex</x:v>
      </x:c>
      <x:c r="W152" s="297" t="str">
        <x:v>KBJI–ISCO belum dipetakan; skor 0–5 adalah transformasi ordinal draft.</x:v>
      </x:c>
    </x:row>
    <x:row r="153">
      <x:c r="A153" s="293" t="str"/>
      <x:c r="B153" s="294" t="str"/>
      <x:c r="C153" s="235" t="str"/>
      <x:c r="D153" s="295" t="str">
        <x:v>2163</x:v>
      </x:c>
      <x:c r="E153" s="233" t="str">
        <x:v>Product and Garment Designers</x:v>
      </x:c>
      <x:c r="F153" s="233" t="str">
        <x:v>UNRESOLVED</x:v>
      </x:c>
      <x:c r="G153" s="233"/>
      <x:c r="H153" s="233" t="str"/>
      <x:c r="I153" s="233"/>
      <x:c r="J153" s="233" t="str">
        <x:v>PENDING</x:v>
      </x:c>
      <x:c r="K153" s="233" t="str">
        <x:v>Minimal Exposure</x:v>
      </x:c>
      <x:c r="L153" s="296" t="n">
        <x:v>0.35</x:v>
      </x:c>
      <x:c r="M153" s="296" t="n">
        <x:v>0.09</x:v>
      </x:c>
      <x:c r="N153" s="233" t="n">
        <x:v>1</x:v>
      </x:c>
      <x:c r="O153" s="233" t="str">
        <x:v>DRAFT_ORDINAL_MAPPING</x:v>
      </x:c>
      <x:c r="P153" s="233" t="str">
        <x:v>VERIFIED</x:v>
      </x:c>
      <x:c r="Q153" s="235" t="str"/>
      <x:c r="R153" s="235" t="str"/>
      <x:c r="S153" s="233" t="str">
        <x:v>ILO_SCORE25</x:v>
      </x:c>
      <x:c r="T153" s="233" t="str">
        <x:v>WP140 online Annex, Table A1</x:v>
      </x:c>
      <x:c r="U153" s="235" t="str">
        <x:v>PENDING</x:v>
      </x:c>
      <x:c r="V153" s="235" t="str">
        <x:v>Codex</x:v>
      </x:c>
      <x:c r="W153" s="297" t="str">
        <x:v>KBJI–ISCO belum dipetakan; skor 0–5 adalah transformasi ordinal draft.</x:v>
      </x:c>
    </x:row>
    <x:row r="154">
      <x:c r="A154" s="293" t="str"/>
      <x:c r="B154" s="294" t="str"/>
      <x:c r="C154" s="235" t="str"/>
      <x:c r="D154" s="295" t="str">
        <x:v>2320</x:v>
      </x:c>
      <x:c r="E154" s="233" t="str">
        <x:v>Vocational Education Teachers</x:v>
      </x:c>
      <x:c r="F154" s="233" t="str">
        <x:v>UNRESOLVED</x:v>
      </x:c>
      <x:c r="G154" s="233"/>
      <x:c r="H154" s="233" t="str"/>
      <x:c r="I154" s="233"/>
      <x:c r="J154" s="233" t="str">
        <x:v>PENDING</x:v>
      </x:c>
      <x:c r="K154" s="233" t="str">
        <x:v>Minimal Exposure</x:v>
      </x:c>
      <x:c r="L154" s="296" t="n">
        <x:v>0.35</x:v>
      </x:c>
      <x:c r="M154" s="296" t="n">
        <x:v>0.12</x:v>
      </x:c>
      <x:c r="N154" s="233" t="n">
        <x:v>1</x:v>
      </x:c>
      <x:c r="O154" s="233" t="str">
        <x:v>DRAFT_ORDINAL_MAPPING</x:v>
      </x:c>
      <x:c r="P154" s="233" t="str">
        <x:v>VERIFIED</x:v>
      </x:c>
      <x:c r="Q154" s="235" t="str"/>
      <x:c r="R154" s="235" t="str"/>
      <x:c r="S154" s="233" t="str">
        <x:v>ILO_SCORE25</x:v>
      </x:c>
      <x:c r="T154" s="233" t="str">
        <x:v>WP140 online Annex, Table A1</x:v>
      </x:c>
      <x:c r="U154" s="235" t="str">
        <x:v>PENDING</x:v>
      </x:c>
      <x:c r="V154" s="235" t="str">
        <x:v>Codex</x:v>
      </x:c>
      <x:c r="W154" s="297" t="str">
        <x:v>KBJI–ISCO belum dipetakan; skor 0–5 adalah transformasi ordinal draft.</x:v>
      </x:c>
    </x:row>
    <x:row r="155">
      <x:c r="A155" s="293" t="str"/>
      <x:c r="B155" s="294" t="str"/>
      <x:c r="C155" s="235" t="str"/>
      <x:c r="D155" s="295" t="str">
        <x:v>2354</x:v>
      </x:c>
      <x:c r="E155" s="233" t="str">
        <x:v>Other Music Teachers</x:v>
      </x:c>
      <x:c r="F155" s="233" t="str">
        <x:v>UNRESOLVED</x:v>
      </x:c>
      <x:c r="G155" s="233"/>
      <x:c r="H155" s="233" t="str"/>
      <x:c r="I155" s="233"/>
      <x:c r="J155" s="233" t="str">
        <x:v>PENDING</x:v>
      </x:c>
      <x:c r="K155" s="233" t="str">
        <x:v>Minimal Exposure</x:v>
      </x:c>
      <x:c r="L155" s="296" t="n">
        <x:v>0.35</x:v>
      </x:c>
      <x:c r="M155" s="296" t="n">
        <x:v>0.09</x:v>
      </x:c>
      <x:c r="N155" s="233" t="n">
        <x:v>1</x:v>
      </x:c>
      <x:c r="O155" s="233" t="str">
        <x:v>DRAFT_ORDINAL_MAPPING</x:v>
      </x:c>
      <x:c r="P155" s="233" t="str">
        <x:v>VERIFIED</x:v>
      </x:c>
      <x:c r="Q155" s="235" t="str"/>
      <x:c r="R155" s="235" t="str"/>
      <x:c r="S155" s="233" t="str">
        <x:v>ILO_SCORE25</x:v>
      </x:c>
      <x:c r="T155" s="233" t="str">
        <x:v>WP140 online Annex, Table A1</x:v>
      </x:c>
      <x:c r="U155" s="235" t="str">
        <x:v>PENDING</x:v>
      </x:c>
      <x:c r="V155" s="235" t="str">
        <x:v>Codex</x:v>
      </x:c>
      <x:c r="W155" s="297" t="str">
        <x:v>KBJI–ISCO belum dipetakan; skor 0–5 adalah transformasi ordinal draft.</x:v>
      </x:c>
    </x:row>
    <x:row r="156">
      <x:c r="A156" s="293" t="str"/>
      <x:c r="B156" s="294" t="str"/>
      <x:c r="C156" s="235" t="str"/>
      <x:c r="D156" s="295" t="str">
        <x:v>2355</x:v>
      </x:c>
      <x:c r="E156" s="233" t="str">
        <x:v>Other Arts Teachers</x:v>
      </x:c>
      <x:c r="F156" s="233" t="str">
        <x:v>UNRESOLVED</x:v>
      </x:c>
      <x:c r="G156" s="233"/>
      <x:c r="H156" s="233" t="str"/>
      <x:c r="I156" s="233"/>
      <x:c r="J156" s="233" t="str">
        <x:v>PENDING</x:v>
      </x:c>
      <x:c r="K156" s="233" t="str">
        <x:v>Minimal Exposure</x:v>
      </x:c>
      <x:c r="L156" s="296" t="n">
        <x:v>0.35</x:v>
      </x:c>
      <x:c r="M156" s="296" t="n">
        <x:v>0.1</x:v>
      </x:c>
      <x:c r="N156" s="233" t="n">
        <x:v>1</x:v>
      </x:c>
      <x:c r="O156" s="233" t="str">
        <x:v>DRAFT_ORDINAL_MAPPING</x:v>
      </x:c>
      <x:c r="P156" s="233" t="str">
        <x:v>VERIFIED</x:v>
      </x:c>
      <x:c r="Q156" s="235" t="str"/>
      <x:c r="R156" s="235" t="str"/>
      <x:c r="S156" s="233" t="str">
        <x:v>ILO_SCORE25</x:v>
      </x:c>
      <x:c r="T156" s="233" t="str">
        <x:v>WP140 online Annex, Table A1</x:v>
      </x:c>
      <x:c r="U156" s="235" t="str">
        <x:v>PENDING</x:v>
      </x:c>
      <x:c r="V156" s="235" t="str">
        <x:v>Codex</x:v>
      </x:c>
      <x:c r="W156" s="297" t="str">
        <x:v>KBJI–ISCO belum dipetakan; skor 0–5 adalah transformasi ordinal draft.</x:v>
      </x:c>
    </x:row>
    <x:row r="157">
      <x:c r="A157" s="293" t="str"/>
      <x:c r="B157" s="294" t="str"/>
      <x:c r="C157" s="235" t="str"/>
      <x:c r="D157" s="295" t="str">
        <x:v>3118</x:v>
      </x:c>
      <x:c r="E157" s="233" t="str">
        <x:v>Draughtspersons</x:v>
      </x:c>
      <x:c r="F157" s="233" t="str">
        <x:v>UNRESOLVED</x:v>
      </x:c>
      <x:c r="G157" s="233"/>
      <x:c r="H157" s="233" t="str"/>
      <x:c r="I157" s="233"/>
      <x:c r="J157" s="233" t="str">
        <x:v>PENDING</x:v>
      </x:c>
      <x:c r="K157" s="233" t="str">
        <x:v>Minimal Exposure</x:v>
      </x:c>
      <x:c r="L157" s="296" t="n">
        <x:v>0.35</x:v>
      </x:c>
      <x:c r="M157" s="296" t="n">
        <x:v>0.11</x:v>
      </x:c>
      <x:c r="N157" s="233" t="n">
        <x:v>1</x:v>
      </x:c>
      <x:c r="O157" s="233" t="str">
        <x:v>DRAFT_ORDINAL_MAPPING</x:v>
      </x:c>
      <x:c r="P157" s="233" t="str">
        <x:v>VERIFIED</x:v>
      </x:c>
      <x:c r="Q157" s="235" t="str"/>
      <x:c r="R157" s="235" t="str"/>
      <x:c r="S157" s="233" t="str">
        <x:v>ILO_SCORE25</x:v>
      </x:c>
      <x:c r="T157" s="233" t="str">
        <x:v>WP140 online Annex, Table A1</x:v>
      </x:c>
      <x:c r="U157" s="235" t="str">
        <x:v>PENDING</x:v>
      </x:c>
      <x:c r="V157" s="235" t="str">
        <x:v>Codex</x:v>
      </x:c>
      <x:c r="W157" s="297" t="str">
        <x:v>KBJI–ISCO belum dipetakan; skor 0–5 adalah transformasi ordinal draft.</x:v>
      </x:c>
    </x:row>
    <x:row r="158">
      <x:c r="A158" s="293" t="str"/>
      <x:c r="B158" s="294" t="str"/>
      <x:c r="C158" s="235" t="str"/>
      <x:c r="D158" s="295" t="str">
        <x:v>3122</x:v>
      </x:c>
      <x:c r="E158" s="233" t="str">
        <x:v>Manufacturing Supervisors</x:v>
      </x:c>
      <x:c r="F158" s="233" t="str">
        <x:v>UNRESOLVED</x:v>
      </x:c>
      <x:c r="G158" s="233"/>
      <x:c r="H158" s="233" t="str"/>
      <x:c r="I158" s="233"/>
      <x:c r="J158" s="233" t="str">
        <x:v>PENDING</x:v>
      </x:c>
      <x:c r="K158" s="233" t="str">
        <x:v>Minimal Exposure</x:v>
      </x:c>
      <x:c r="L158" s="296" t="n">
        <x:v>0.35</x:v>
      </x:c>
      <x:c r="M158" s="296" t="n">
        <x:v>0.13</x:v>
      </x:c>
      <x:c r="N158" s="233" t="n">
        <x:v>1</x:v>
      </x:c>
      <x:c r="O158" s="233" t="str">
        <x:v>DRAFT_ORDINAL_MAPPING</x:v>
      </x:c>
      <x:c r="P158" s="233" t="str">
        <x:v>VERIFIED</x:v>
      </x:c>
      <x:c r="Q158" s="235" t="str"/>
      <x:c r="R158" s="235" t="str"/>
      <x:c r="S158" s="233" t="str">
        <x:v>ILO_SCORE25</x:v>
      </x:c>
      <x:c r="T158" s="233" t="str">
        <x:v>WP140 online Annex, Table A1</x:v>
      </x:c>
      <x:c r="U158" s="235" t="str">
        <x:v>PENDING</x:v>
      </x:c>
      <x:c r="V158" s="235" t="str">
        <x:v>Codex</x:v>
      </x:c>
      <x:c r="W158" s="297" t="str">
        <x:v>KBJI–ISCO belum dipetakan; skor 0–5 adalah transformasi ordinal draft.</x:v>
      </x:c>
    </x:row>
    <x:row r="159">
      <x:c r="A159" s="293" t="str"/>
      <x:c r="B159" s="294" t="str"/>
      <x:c r="C159" s="235" t="str"/>
      <x:c r="D159" s="295" t="str">
        <x:v>3334</x:v>
      </x:c>
      <x:c r="E159" s="233" t="str">
        <x:v>Real Estate Agents and Property Managers</x:v>
      </x:c>
      <x:c r="F159" s="233" t="str">
        <x:v>UNRESOLVED</x:v>
      </x:c>
      <x:c r="G159" s="233"/>
      <x:c r="H159" s="233" t="str"/>
      <x:c r="I159" s="233"/>
      <x:c r="J159" s="233" t="str">
        <x:v>PENDING</x:v>
      </x:c>
      <x:c r="K159" s="233" t="str">
        <x:v>Minimal Exposure</x:v>
      </x:c>
      <x:c r="L159" s="296" t="n">
        <x:v>0.35</x:v>
      </x:c>
      <x:c r="M159" s="296" t="n">
        <x:v>0.09</x:v>
      </x:c>
      <x:c r="N159" s="233" t="n">
        <x:v>1</x:v>
      </x:c>
      <x:c r="O159" s="233" t="str">
        <x:v>DRAFT_ORDINAL_MAPPING</x:v>
      </x:c>
      <x:c r="P159" s="233" t="str">
        <x:v>VERIFIED</x:v>
      </x:c>
      <x:c r="Q159" s="235" t="str"/>
      <x:c r="R159" s="235" t="str"/>
      <x:c r="S159" s="233" t="str">
        <x:v>ILO_SCORE25</x:v>
      </x:c>
      <x:c r="T159" s="233" t="str">
        <x:v>WP140 online Annex, Table A1</x:v>
      </x:c>
      <x:c r="U159" s="235" t="str">
        <x:v>PENDING</x:v>
      </x:c>
      <x:c r="V159" s="235" t="str">
        <x:v>Codex</x:v>
      </x:c>
      <x:c r="W159" s="297" t="str">
        <x:v>KBJI–ISCO belum dipetakan; skor 0–5 adalah transformasi ordinal draft.</x:v>
      </x:c>
    </x:row>
    <x:row r="160">
      <x:c r="A160" s="293" t="str"/>
      <x:c r="B160" s="294" t="str"/>
      <x:c r="C160" s="235" t="str"/>
      <x:c r="D160" s="295" t="str">
        <x:v>3521</x:v>
      </x:c>
      <x:c r="E160" s="233" t="str">
        <x:v>Broadcasting and Audio-visual Technicians</x:v>
      </x:c>
      <x:c r="F160" s="233" t="str">
        <x:v>UNRESOLVED</x:v>
      </x:c>
      <x:c r="G160" s="233"/>
      <x:c r="H160" s="233" t="str"/>
      <x:c r="I160" s="233"/>
      <x:c r="J160" s="233" t="str">
        <x:v>PENDING</x:v>
      </x:c>
      <x:c r="K160" s="233" t="str">
        <x:v>Minimal Exposure</x:v>
      </x:c>
      <x:c r="L160" s="296" t="n">
        <x:v>0.35</x:v>
      </x:c>
      <x:c r="M160" s="296" t="n">
        <x:v>0.11</x:v>
      </x:c>
      <x:c r="N160" s="233" t="n">
        <x:v>1</x:v>
      </x:c>
      <x:c r="O160" s="233" t="str">
        <x:v>DRAFT_ORDINAL_MAPPING</x:v>
      </x:c>
      <x:c r="P160" s="233" t="str">
        <x:v>VERIFIED</x:v>
      </x:c>
      <x:c r="Q160" s="235" t="str"/>
      <x:c r="R160" s="235" t="str"/>
      <x:c r="S160" s="233" t="str">
        <x:v>ILO_SCORE25</x:v>
      </x:c>
      <x:c r="T160" s="233" t="str">
        <x:v>WP140 online Annex, Table A1</x:v>
      </x:c>
      <x:c r="U160" s="235" t="str">
        <x:v>PENDING</x:v>
      </x:c>
      <x:c r="V160" s="235" t="str">
        <x:v>Codex</x:v>
      </x:c>
      <x:c r="W160" s="297" t="str">
        <x:v>KBJI–ISCO belum dipetakan; skor 0–5 adalah transformasi ordinal draft.</x:v>
      </x:c>
    </x:row>
    <x:row r="161">
      <x:c r="A161" s="293" t="str"/>
      <x:c r="B161" s="294" t="str"/>
      <x:c r="C161" s="235" t="str"/>
      <x:c r="D161" s="295" t="str">
        <x:v>1323</x:v>
      </x:c>
      <x:c r="E161" s="233" t="str">
        <x:v>Construction Managers</x:v>
      </x:c>
      <x:c r="F161" s="233" t="str">
        <x:v>UNRESOLVED</x:v>
      </x:c>
      <x:c r="G161" s="233"/>
      <x:c r="H161" s="233" t="str"/>
      <x:c r="I161" s="233"/>
      <x:c r="J161" s="233" t="str">
        <x:v>PENDING</x:v>
      </x:c>
      <x:c r="K161" s="233" t="str">
        <x:v>Minimal Exposure</x:v>
      </x:c>
      <x:c r="L161" s="296" t="n">
        <x:v>0.34</x:v>
      </x:c>
      <x:c r="M161" s="296" t="n">
        <x:v>0.06</x:v>
      </x:c>
      <x:c r="N161" s="233" t="n">
        <x:v>1</x:v>
      </x:c>
      <x:c r="O161" s="233" t="str">
        <x:v>DRAFT_ORDINAL_MAPPING</x:v>
      </x:c>
      <x:c r="P161" s="233" t="str">
        <x:v>VERIFIED</x:v>
      </x:c>
      <x:c r="Q161" s="235" t="str"/>
      <x:c r="R161" s="235" t="str"/>
      <x:c r="S161" s="233" t="str">
        <x:v>ILO_SCORE25</x:v>
      </x:c>
      <x:c r="T161" s="233" t="str">
        <x:v>WP140 online Annex, Table A1</x:v>
      </x:c>
      <x:c r="U161" s="235" t="str">
        <x:v>PENDING</x:v>
      </x:c>
      <x:c r="V161" s="235" t="str">
        <x:v>Codex</x:v>
      </x:c>
      <x:c r="W161" s="297" t="str">
        <x:v>KBJI–ISCO belum dipetakan; skor 0–5 adalah transformasi ordinal draft.</x:v>
      </x:c>
    </x:row>
    <x:row r="162">
      <x:c r="A162" s="293" t="str"/>
      <x:c r="B162" s="294" t="str"/>
      <x:c r="C162" s="235" t="str"/>
      <x:c r="D162" s="295" t="str">
        <x:v>1343</x:v>
      </x:c>
      <x:c r="E162" s="233" t="str">
        <x:v>Aged Care Service Managers</x:v>
      </x:c>
      <x:c r="F162" s="233" t="str">
        <x:v>UNRESOLVED</x:v>
      </x:c>
      <x:c r="G162" s="233"/>
      <x:c r="H162" s="233" t="str"/>
      <x:c r="I162" s="233"/>
      <x:c r="J162" s="233" t="str">
        <x:v>PENDING</x:v>
      </x:c>
      <x:c r="K162" s="233" t="str">
        <x:v>Minimal Exposure</x:v>
      </x:c>
      <x:c r="L162" s="296" t="n">
        <x:v>0.34</x:v>
      </x:c>
      <x:c r="M162" s="296" t="n">
        <x:v>0.09</x:v>
      </x:c>
      <x:c r="N162" s="233" t="n">
        <x:v>1</x:v>
      </x:c>
      <x:c r="O162" s="233" t="str">
        <x:v>DRAFT_ORDINAL_MAPPING</x:v>
      </x:c>
      <x:c r="P162" s="233" t="str">
        <x:v>VERIFIED</x:v>
      </x:c>
      <x:c r="Q162" s="235" t="str"/>
      <x:c r="R162" s="235" t="str"/>
      <x:c r="S162" s="233" t="str">
        <x:v>ILO_SCORE25</x:v>
      </x:c>
      <x:c r="T162" s="233" t="str">
        <x:v>WP140 online Annex, Table A1</x:v>
      </x:c>
      <x:c r="U162" s="235" t="str">
        <x:v>PENDING</x:v>
      </x:c>
      <x:c r="V162" s="235" t="str">
        <x:v>Codex</x:v>
      </x:c>
      <x:c r="W162" s="297" t="str">
        <x:v>KBJI–ISCO belum dipetakan; skor 0–5 adalah transformasi ordinal draft.</x:v>
      </x:c>
    </x:row>
    <x:row r="163">
      <x:c r="A163" s="293" t="str"/>
      <x:c r="B163" s="294" t="str"/>
      <x:c r="C163" s="235" t="str"/>
      <x:c r="D163" s="295" t="str">
        <x:v>2353</x:v>
      </x:c>
      <x:c r="E163" s="233" t="str">
        <x:v>Other Language Teachers</x:v>
      </x:c>
      <x:c r="F163" s="233" t="str">
        <x:v>UNRESOLVED</x:v>
      </x:c>
      <x:c r="G163" s="233"/>
      <x:c r="H163" s="233" t="str"/>
      <x:c r="I163" s="233"/>
      <x:c r="J163" s="233" t="str">
        <x:v>PENDING</x:v>
      </x:c>
      <x:c r="K163" s="233" t="str">
        <x:v>Minimal Exposure</x:v>
      </x:c>
      <x:c r="L163" s="296" t="n">
        <x:v>0.34</x:v>
      </x:c>
      <x:c r="M163" s="296" t="n">
        <x:v>0.11</x:v>
      </x:c>
      <x:c r="N163" s="233" t="n">
        <x:v>1</x:v>
      </x:c>
      <x:c r="O163" s="233" t="str">
        <x:v>DRAFT_ORDINAL_MAPPING</x:v>
      </x:c>
      <x:c r="P163" s="233" t="str">
        <x:v>VERIFIED</x:v>
      </x:c>
      <x:c r="Q163" s="235" t="str"/>
      <x:c r="R163" s="235" t="str"/>
      <x:c r="S163" s="233" t="str">
        <x:v>ILO_SCORE25</x:v>
      </x:c>
      <x:c r="T163" s="233" t="str">
        <x:v>WP140 online Annex, Table A1</x:v>
      </x:c>
      <x:c r="U163" s="235" t="str">
        <x:v>PENDING</x:v>
      </x:c>
      <x:c r="V163" s="235" t="str">
        <x:v>Codex</x:v>
      </x:c>
      <x:c r="W163" s="297" t="str">
        <x:v>KBJI–ISCO belum dipetakan; skor 0–5 adalah transformasi ordinal draft.</x:v>
      </x:c>
    </x:row>
    <x:row r="164">
      <x:c r="A164" s="293" t="str"/>
      <x:c r="B164" s="294" t="str"/>
      <x:c r="C164" s="235" t="str"/>
      <x:c r="D164" s="295" t="str">
        <x:v>3155</x:v>
      </x:c>
      <x:c r="E164" s="233" t="str">
        <x:v>Air Traffic Safety Electronics Technicians</x:v>
      </x:c>
      <x:c r="F164" s="233" t="str">
        <x:v>UNRESOLVED</x:v>
      </x:c>
      <x:c r="G164" s="233"/>
      <x:c r="H164" s="233" t="str"/>
      <x:c r="I164" s="233"/>
      <x:c r="J164" s="233" t="str">
        <x:v>PENDING</x:v>
      </x:c>
      <x:c r="K164" s="233" t="str">
        <x:v>Minimal Exposure</x:v>
      </x:c>
      <x:c r="L164" s="296" t="n">
        <x:v>0.34</x:v>
      </x:c>
      <x:c r="M164" s="296" t="n">
        <x:v>0.1</x:v>
      </x:c>
      <x:c r="N164" s="233" t="n">
        <x:v>1</x:v>
      </x:c>
      <x:c r="O164" s="233" t="str">
        <x:v>DRAFT_ORDINAL_MAPPING</x:v>
      </x:c>
      <x:c r="P164" s="233" t="str">
        <x:v>VERIFIED</x:v>
      </x:c>
      <x:c r="Q164" s="235" t="str"/>
      <x:c r="R164" s="235" t="str"/>
      <x:c r="S164" s="233" t="str">
        <x:v>ILO_SCORE25</x:v>
      </x:c>
      <x:c r="T164" s="233" t="str">
        <x:v>WP140 online Annex, Table A1</x:v>
      </x:c>
      <x:c r="U164" s="235" t="str">
        <x:v>PENDING</x:v>
      </x:c>
      <x:c r="V164" s="235" t="str">
        <x:v>Codex</x:v>
      </x:c>
      <x:c r="W164" s="297" t="str">
        <x:v>KBJI–ISCO belum dipetakan; skor 0–5 adalah transformasi ordinal draft.</x:v>
      </x:c>
    </x:row>
    <x:row r="165">
      <x:c r="A165" s="293" t="str"/>
      <x:c r="B165" s="294" t="str"/>
      <x:c r="C165" s="235" t="str"/>
      <x:c r="D165" s="295" t="str">
        <x:v>2262</x:v>
      </x:c>
      <x:c r="E165" s="233" t="str">
        <x:v>Pharmacists</x:v>
      </x:c>
      <x:c r="F165" s="233" t="str">
        <x:v>UNRESOLVED</x:v>
      </x:c>
      <x:c r="G165" s="233"/>
      <x:c r="H165" s="233" t="str"/>
      <x:c r="I165" s="233"/>
      <x:c r="J165" s="233" t="str">
        <x:v>PENDING</x:v>
      </x:c>
      <x:c r="K165" s="233" t="str">
        <x:v>Minimal Exposure</x:v>
      </x:c>
      <x:c r="L165" s="296" t="n">
        <x:v>0.33</x:v>
      </x:c>
      <x:c r="M165" s="296" t="n">
        <x:v>0.09</x:v>
      </x:c>
      <x:c r="N165" s="233" t="n">
        <x:v>1</x:v>
      </x:c>
      <x:c r="O165" s="233" t="str">
        <x:v>DRAFT_ORDINAL_MAPPING</x:v>
      </x:c>
      <x:c r="P165" s="233" t="str">
        <x:v>VERIFIED</x:v>
      </x:c>
      <x:c r="Q165" s="235" t="str"/>
      <x:c r="R165" s="235" t="str"/>
      <x:c r="S165" s="233" t="str">
        <x:v>ILO_SCORE25</x:v>
      </x:c>
      <x:c r="T165" s="233" t="str">
        <x:v>WP140 online Annex, Table A1</x:v>
      </x:c>
      <x:c r="U165" s="235" t="str">
        <x:v>PENDING</x:v>
      </x:c>
      <x:c r="V165" s="235" t="str">
        <x:v>Codex</x:v>
      </x:c>
      <x:c r="W165" s="297" t="str">
        <x:v>KBJI–ISCO belum dipetakan; skor 0–5 adalah transformasi ordinal draft.</x:v>
      </x:c>
    </x:row>
    <x:row r="166">
      <x:c r="A166" s="293" t="str"/>
      <x:c r="B166" s="294" t="str"/>
      <x:c r="C166" s="235" t="str"/>
      <x:c r="D166" s="295" t="str">
        <x:v>2359</x:v>
      </x:c>
      <x:c r="E166" s="233" t="str">
        <x:v>Teaching Professionals Not Elsewhere Classified</x:v>
      </x:c>
      <x:c r="F166" s="233" t="str">
        <x:v>UNRESOLVED</x:v>
      </x:c>
      <x:c r="G166" s="233"/>
      <x:c r="H166" s="233" t="str"/>
      <x:c r="I166" s="233"/>
      <x:c r="J166" s="233" t="str">
        <x:v>PENDING</x:v>
      </x:c>
      <x:c r="K166" s="233" t="str">
        <x:v>Minimal Exposure</x:v>
      </x:c>
      <x:c r="L166" s="296" t="n">
        <x:v>0.33</x:v>
      </x:c>
      <x:c r="M166" s="296" t="n">
        <x:v>0.1</x:v>
      </x:c>
      <x:c r="N166" s="233" t="n">
        <x:v>1</x:v>
      </x:c>
      <x:c r="O166" s="233" t="str">
        <x:v>DRAFT_ORDINAL_MAPPING</x:v>
      </x:c>
      <x:c r="P166" s="233" t="str">
        <x:v>VERIFIED</x:v>
      </x:c>
      <x:c r="Q166" s="235" t="str"/>
      <x:c r="R166" s="235" t="str"/>
      <x:c r="S166" s="233" t="str">
        <x:v>ILO_SCORE25</x:v>
      </x:c>
      <x:c r="T166" s="233" t="str">
        <x:v>WP140 online Annex, Table A1</x:v>
      </x:c>
      <x:c r="U166" s="235" t="str">
        <x:v>PENDING</x:v>
      </x:c>
      <x:c r="V166" s="235" t="str">
        <x:v>Codex</x:v>
      </x:c>
      <x:c r="W166" s="297" t="str">
        <x:v>KBJI–ISCO belum dipetakan; skor 0–5 adalah transformasi ordinal draft.</x:v>
      </x:c>
    </x:row>
    <x:row r="167">
      <x:c r="A167" s="293" t="str"/>
      <x:c r="B167" s="294" t="str"/>
      <x:c r="C167" s="235" t="str"/>
      <x:c r="D167" s="295" t="str">
        <x:v>3412</x:v>
      </x:c>
      <x:c r="E167" s="233" t="str">
        <x:v>Social Work Associate Professionals</x:v>
      </x:c>
      <x:c r="F167" s="233" t="str">
        <x:v>UNRESOLVED</x:v>
      </x:c>
      <x:c r="G167" s="233"/>
      <x:c r="H167" s="233" t="str"/>
      <x:c r="I167" s="233"/>
      <x:c r="J167" s="233" t="str">
        <x:v>PENDING</x:v>
      </x:c>
      <x:c r="K167" s="233" t="str">
        <x:v>Minimal Exposure</x:v>
      </x:c>
      <x:c r="L167" s="296" t="n">
        <x:v>0.33</x:v>
      </x:c>
      <x:c r="M167" s="296" t="n">
        <x:v>0.13</x:v>
      </x:c>
      <x:c r="N167" s="233" t="n">
        <x:v>1</x:v>
      </x:c>
      <x:c r="O167" s="233" t="str">
        <x:v>DRAFT_ORDINAL_MAPPING</x:v>
      </x:c>
      <x:c r="P167" s="233" t="str">
        <x:v>VERIFIED</x:v>
      </x:c>
      <x:c r="Q167" s="235" t="str"/>
      <x:c r="R167" s="235" t="str"/>
      <x:c r="S167" s="233" t="str">
        <x:v>ILO_SCORE25</x:v>
      </x:c>
      <x:c r="T167" s="233" t="str">
        <x:v>WP140 online Annex, Table A1</x:v>
      </x:c>
      <x:c r="U167" s="235" t="str">
        <x:v>PENDING</x:v>
      </x:c>
      <x:c r="V167" s="235" t="str">
        <x:v>Codex</x:v>
      </x:c>
      <x:c r="W167" s="297" t="str">
        <x:v>KBJI–ISCO belum dipetakan; skor 0–5 adalah transformasi ordinal draft.</x:v>
      </x:c>
    </x:row>
    <x:row r="168">
      <x:c r="A168" s="293" t="str"/>
      <x:c r="B168" s="294" t="str"/>
      <x:c r="C168" s="235" t="str"/>
      <x:c r="D168" s="295" t="str">
        <x:v>1431</x:v>
      </x:c>
      <x:c r="E168" s="233" t="str">
        <x:v>Sports, Recreation and Cultural Centre Managers</x:v>
      </x:c>
      <x:c r="F168" s="233" t="str">
        <x:v>UNRESOLVED</x:v>
      </x:c>
      <x:c r="G168" s="233"/>
      <x:c r="H168" s="233" t="str"/>
      <x:c r="I168" s="233"/>
      <x:c r="J168" s="233" t="str">
        <x:v>PENDING</x:v>
      </x:c>
      <x:c r="K168" s="233" t="str">
        <x:v>Minimal Exposure</x:v>
      </x:c>
      <x:c r="L168" s="296" t="n">
        <x:v>0.32</x:v>
      </x:c>
      <x:c r="M168" s="296" t="n">
        <x:v>0.1</x:v>
      </x:c>
      <x:c r="N168" s="233" t="n">
        <x:v>1</x:v>
      </x:c>
      <x:c r="O168" s="233" t="str">
        <x:v>DRAFT_ORDINAL_MAPPING</x:v>
      </x:c>
      <x:c r="P168" s="233" t="str">
        <x:v>VERIFIED</x:v>
      </x:c>
      <x:c r="Q168" s="235" t="str"/>
      <x:c r="R168" s="235" t="str"/>
      <x:c r="S168" s="233" t="str">
        <x:v>ILO_SCORE25</x:v>
      </x:c>
      <x:c r="T168" s="233" t="str">
        <x:v>WP140 online Annex, Table A1</x:v>
      </x:c>
      <x:c r="U168" s="235" t="str">
        <x:v>PENDING</x:v>
      </x:c>
      <x:c r="V168" s="235" t="str">
        <x:v>Codex</x:v>
      </x:c>
      <x:c r="W168" s="297" t="str">
        <x:v>KBJI–ISCO belum dipetakan; skor 0–5 adalah transformasi ordinal draft.</x:v>
      </x:c>
    </x:row>
    <x:row r="169">
      <x:c r="A169" s="293" t="str"/>
      <x:c r="B169" s="294" t="str"/>
      <x:c r="C169" s="235" t="str"/>
      <x:c r="D169" s="295" t="str">
        <x:v>2230</x:v>
      </x:c>
      <x:c r="E169" s="233" t="str">
        <x:v>Traditional and Complementary Medicine Professionals</x:v>
      </x:c>
      <x:c r="F169" s="233" t="str">
        <x:v>UNRESOLVED</x:v>
      </x:c>
      <x:c r="G169" s="233"/>
      <x:c r="H169" s="233" t="str"/>
      <x:c r="I169" s="233"/>
      <x:c r="J169" s="233" t="str">
        <x:v>PENDING</x:v>
      </x:c>
      <x:c r="K169" s="233" t="str">
        <x:v>Minimal Exposure</x:v>
      </x:c>
      <x:c r="L169" s="296" t="n">
        <x:v>0.32</x:v>
      </x:c>
      <x:c r="M169" s="296" t="n">
        <x:v>0.11</x:v>
      </x:c>
      <x:c r="N169" s="233" t="n">
        <x:v>1</x:v>
      </x:c>
      <x:c r="O169" s="233" t="str">
        <x:v>DRAFT_ORDINAL_MAPPING</x:v>
      </x:c>
      <x:c r="P169" s="233" t="str">
        <x:v>VERIFIED</x:v>
      </x:c>
      <x:c r="Q169" s="235" t="str"/>
      <x:c r="R169" s="235" t="str"/>
      <x:c r="S169" s="233" t="str">
        <x:v>ILO_SCORE25</x:v>
      </x:c>
      <x:c r="T169" s="233" t="str">
        <x:v>WP140 online Annex, Table A1</x:v>
      </x:c>
      <x:c r="U169" s="235" t="str">
        <x:v>PENDING</x:v>
      </x:c>
      <x:c r="V169" s="235" t="str">
        <x:v>Codex</x:v>
      </x:c>
      <x:c r="W169" s="297" t="str">
        <x:v>KBJI–ISCO belum dipetakan; skor 0–5 adalah transformasi ordinal draft.</x:v>
      </x:c>
    </x:row>
    <x:row r="170">
      <x:c r="A170" s="293" t="str"/>
      <x:c r="B170" s="294" t="str"/>
      <x:c r="C170" s="235" t="str"/>
      <x:c r="D170" s="295" t="str">
        <x:v>3351</x:v>
      </x:c>
      <x:c r="E170" s="233" t="str">
        <x:v>Customs and Border Inspectors</x:v>
      </x:c>
      <x:c r="F170" s="233" t="str">
        <x:v>UNRESOLVED</x:v>
      </x:c>
      <x:c r="G170" s="233"/>
      <x:c r="H170" s="233" t="str"/>
      <x:c r="I170" s="233"/>
      <x:c r="J170" s="233" t="str">
        <x:v>PENDING</x:v>
      </x:c>
      <x:c r="K170" s="233" t="str">
        <x:v>Minimal Exposure</x:v>
      </x:c>
      <x:c r="L170" s="296" t="n">
        <x:v>0.32</x:v>
      </x:c>
      <x:c r="M170" s="296" t="n">
        <x:v>0.14</x:v>
      </x:c>
      <x:c r="N170" s="233" t="n">
        <x:v>1</x:v>
      </x:c>
      <x:c r="O170" s="233" t="str">
        <x:v>DRAFT_ORDINAL_MAPPING</x:v>
      </x:c>
      <x:c r="P170" s="233" t="str">
        <x:v>VERIFIED</x:v>
      </x:c>
      <x:c r="Q170" s="235" t="str"/>
      <x:c r="R170" s="235" t="str"/>
      <x:c r="S170" s="233" t="str">
        <x:v>ILO_SCORE25</x:v>
      </x:c>
      <x:c r="T170" s="233" t="str">
        <x:v>WP140 online Annex, Table A1</x:v>
      </x:c>
      <x:c r="U170" s="235" t="str">
        <x:v>PENDING</x:v>
      </x:c>
      <x:c r="V170" s="235" t="str">
        <x:v>Codex</x:v>
      </x:c>
      <x:c r="W170" s="297" t="str">
        <x:v>KBJI–ISCO belum dipetakan; skor 0–5 adalah transformasi ordinal draft.</x:v>
      </x:c>
    </x:row>
    <x:row r="171">
      <x:c r="A171" s="293" t="str"/>
      <x:c r="B171" s="294" t="str"/>
      <x:c r="C171" s="235" t="str"/>
      <x:c r="D171" s="295" t="str">
        <x:v>5113</x:v>
      </x:c>
      <x:c r="E171" s="233" t="str">
        <x:v>Travel Guides</x:v>
      </x:c>
      <x:c r="F171" s="233" t="str">
        <x:v>UNRESOLVED</x:v>
      </x:c>
      <x:c r="G171" s="233"/>
      <x:c r="H171" s="233" t="str"/>
      <x:c r="I171" s="233"/>
      <x:c r="J171" s="233" t="str">
        <x:v>PENDING</x:v>
      </x:c>
      <x:c r="K171" s="233" t="str">
        <x:v>Minimal Exposure</x:v>
      </x:c>
      <x:c r="L171" s="296" t="n">
        <x:v>0.32</x:v>
      </x:c>
      <x:c r="M171" s="296" t="n">
        <x:v>0.11</x:v>
      </x:c>
      <x:c r="N171" s="233" t="n">
        <x:v>1</x:v>
      </x:c>
      <x:c r="O171" s="233" t="str">
        <x:v>DRAFT_ORDINAL_MAPPING</x:v>
      </x:c>
      <x:c r="P171" s="233" t="str">
        <x:v>VERIFIED</x:v>
      </x:c>
      <x:c r="Q171" s="235" t="str"/>
      <x:c r="R171" s="235" t="str"/>
      <x:c r="S171" s="233" t="str">
        <x:v>ILO_SCORE25</x:v>
      </x:c>
      <x:c r="T171" s="233" t="str">
        <x:v>WP140 online Annex, Table A1</x:v>
      </x:c>
      <x:c r="U171" s="235" t="str">
        <x:v>PENDING</x:v>
      </x:c>
      <x:c r="V171" s="235" t="str">
        <x:v>Codex</x:v>
      </x:c>
      <x:c r="W171" s="297" t="str">
        <x:v>KBJI–ISCO belum dipetakan; skor 0–5 adalah transformasi ordinal draft.</x:v>
      </x:c>
    </x:row>
    <x:row r="172">
      <x:c r="A172" s="293" t="str"/>
      <x:c r="B172" s="294" t="str"/>
      <x:c r="C172" s="235" t="str"/>
      <x:c r="D172" s="295" t="str">
        <x:v>8219</x:v>
      </x:c>
      <x:c r="E172" s="233" t="str">
        <x:v>Assemblers Not Elsewhere Classified</x:v>
      </x:c>
      <x:c r="F172" s="233" t="str">
        <x:v>UNRESOLVED</x:v>
      </x:c>
      <x:c r="G172" s="233"/>
      <x:c r="H172" s="233" t="str"/>
      <x:c r="I172" s="233"/>
      <x:c r="J172" s="233" t="str">
        <x:v>PENDING</x:v>
      </x:c>
      <x:c r="K172" s="233" t="str">
        <x:v>Minimal Exposure</x:v>
      </x:c>
      <x:c r="L172" s="296" t="n">
        <x:v>0.32</x:v>
      </x:c>
      <x:c r="M172" s="296" t="n">
        <x:v>0.17</x:v>
      </x:c>
      <x:c r="N172" s="233" t="n">
        <x:v>1</x:v>
      </x:c>
      <x:c r="O172" s="233" t="str">
        <x:v>DRAFT_ORDINAL_MAPPING</x:v>
      </x:c>
      <x:c r="P172" s="233" t="str">
        <x:v>VERIFIED</x:v>
      </x:c>
      <x:c r="Q172" s="235" t="str"/>
      <x:c r="R172" s="235" t="str"/>
      <x:c r="S172" s="233" t="str">
        <x:v>ILO_SCORE25</x:v>
      </x:c>
      <x:c r="T172" s="233" t="str">
        <x:v>WP140 online Annex, Table A1</x:v>
      </x:c>
      <x:c r="U172" s="235" t="str">
        <x:v>PENDING</x:v>
      </x:c>
      <x:c r="V172" s="235" t="str">
        <x:v>Codex</x:v>
      </x:c>
      <x:c r="W172" s="297" t="str">
        <x:v>KBJI–ISCO belum dipetakan; skor 0–5 adalah transformasi ordinal draft.</x:v>
      </x:c>
    </x:row>
    <x:row r="173">
      <x:c r="A173" s="293" t="str"/>
      <x:c r="B173" s="294" t="str"/>
      <x:c r="C173" s="235" t="str"/>
      <x:c r="D173" s="295" t="str">
        <x:v>2655</x:v>
      </x:c>
      <x:c r="E173" s="233" t="str">
        <x:v>Actors</x:v>
      </x:c>
      <x:c r="F173" s="233" t="str">
        <x:v>UNRESOLVED</x:v>
      </x:c>
      <x:c r="G173" s="233"/>
      <x:c r="H173" s="233" t="str"/>
      <x:c r="I173" s="233"/>
      <x:c r="J173" s="233" t="str">
        <x:v>PENDING</x:v>
      </x:c>
      <x:c r="K173" s="233" t="str">
        <x:v>Minimal Exposure</x:v>
      </x:c>
      <x:c r="L173" s="296" t="n">
        <x:v>0.31</x:v>
      </x:c>
      <x:c r="M173" s="296" t="n">
        <x:v>0.15</x:v>
      </x:c>
      <x:c r="N173" s="233" t="n">
        <x:v>1</x:v>
      </x:c>
      <x:c r="O173" s="233" t="str">
        <x:v>DRAFT_ORDINAL_MAPPING</x:v>
      </x:c>
      <x:c r="P173" s="233" t="str">
        <x:v>VERIFIED</x:v>
      </x:c>
      <x:c r="Q173" s="235" t="str"/>
      <x:c r="R173" s="235" t="str"/>
      <x:c r="S173" s="233" t="str">
        <x:v>ILO_SCORE25</x:v>
      </x:c>
      <x:c r="T173" s="233" t="str">
        <x:v>WP140 online Annex, Table A1</x:v>
      </x:c>
      <x:c r="U173" s="235" t="str">
        <x:v>PENDING</x:v>
      </x:c>
      <x:c r="V173" s="235" t="str">
        <x:v>Codex</x:v>
      </x:c>
      <x:c r="W173" s="297" t="str">
        <x:v>KBJI–ISCO belum dipetakan; skor 0–5 adalah transformasi ordinal draft.</x:v>
      </x:c>
    </x:row>
    <x:row r="174">
      <x:c r="A174" s="293" t="str"/>
      <x:c r="B174" s="294" t="str"/>
      <x:c r="C174" s="235" t="str"/>
      <x:c r="D174" s="295" t="str">
        <x:v>3135</x:v>
      </x:c>
      <x:c r="E174" s="233" t="str">
        <x:v>Metal Production Process Controllers</x:v>
      </x:c>
      <x:c r="F174" s="233" t="str">
        <x:v>UNRESOLVED</x:v>
      </x:c>
      <x:c r="G174" s="233"/>
      <x:c r="H174" s="233" t="str"/>
      <x:c r="I174" s="233"/>
      <x:c r="J174" s="233" t="str">
        <x:v>PENDING</x:v>
      </x:c>
      <x:c r="K174" s="233" t="str">
        <x:v>Minimal Exposure</x:v>
      </x:c>
      <x:c r="L174" s="296" t="n">
        <x:v>0.31</x:v>
      </x:c>
      <x:c r="M174" s="296" t="n">
        <x:v>0.13</x:v>
      </x:c>
      <x:c r="N174" s="233" t="n">
        <x:v>1</x:v>
      </x:c>
      <x:c r="O174" s="233" t="str">
        <x:v>DRAFT_ORDINAL_MAPPING</x:v>
      </x:c>
      <x:c r="P174" s="233" t="str">
        <x:v>VERIFIED</x:v>
      </x:c>
      <x:c r="Q174" s="235" t="str"/>
      <x:c r="R174" s="235" t="str"/>
      <x:c r="S174" s="233" t="str">
        <x:v>ILO_SCORE25</x:v>
      </x:c>
      <x:c r="T174" s="233" t="str">
        <x:v>WP140 online Annex, Table A1</x:v>
      </x:c>
      <x:c r="U174" s="235" t="str">
        <x:v>PENDING</x:v>
      </x:c>
      <x:c r="V174" s="235" t="str">
        <x:v>Codex</x:v>
      </x:c>
      <x:c r="W174" s="297" t="str">
        <x:v>KBJI–ISCO belum dipetakan; skor 0–5 adalah transformasi ordinal draft.</x:v>
      </x:c>
    </x:row>
    <x:row r="175">
      <x:c r="A175" s="293" t="str"/>
      <x:c r="B175" s="294" t="str"/>
      <x:c r="C175" s="235" t="str"/>
      <x:c r="D175" s="295" t="str">
        <x:v>3154</x:v>
      </x:c>
      <x:c r="E175" s="233" t="str">
        <x:v>Air Traffic Controllers</x:v>
      </x:c>
      <x:c r="F175" s="233" t="str">
        <x:v>UNRESOLVED</x:v>
      </x:c>
      <x:c r="G175" s="233"/>
      <x:c r="H175" s="233" t="str"/>
      <x:c r="I175" s="233"/>
      <x:c r="J175" s="233" t="str">
        <x:v>PENDING</x:v>
      </x:c>
      <x:c r="K175" s="233" t="str">
        <x:v>Minimal Exposure</x:v>
      </x:c>
      <x:c r="L175" s="296" t="n">
        <x:v>0.31</x:v>
      </x:c>
      <x:c r="M175" s="296" t="n">
        <x:v>0.09</x:v>
      </x:c>
      <x:c r="N175" s="233" t="n">
        <x:v>1</x:v>
      </x:c>
      <x:c r="O175" s="233" t="str">
        <x:v>DRAFT_ORDINAL_MAPPING</x:v>
      </x:c>
      <x:c r="P175" s="233" t="str">
        <x:v>VERIFIED</x:v>
      </x:c>
      <x:c r="Q175" s="235" t="str"/>
      <x:c r="R175" s="235" t="str"/>
      <x:c r="S175" s="233" t="str">
        <x:v>ILO_SCORE25</x:v>
      </x:c>
      <x:c r="T175" s="233" t="str">
        <x:v>WP140 online Annex, Table A1</x:v>
      </x:c>
      <x:c r="U175" s="235" t="str">
        <x:v>PENDING</x:v>
      </x:c>
      <x:c r="V175" s="235" t="str">
        <x:v>Codex</x:v>
      </x:c>
      <x:c r="W175" s="297" t="str">
        <x:v>KBJI–ISCO belum dipetakan; skor 0–5 adalah transformasi ordinal draft.</x:v>
      </x:c>
    </x:row>
    <x:row r="176">
      <x:c r="A176" s="293" t="str"/>
      <x:c r="B176" s="294" t="str"/>
      <x:c r="C176" s="235" t="str"/>
      <x:c r="D176" s="295" t="str">
        <x:v>3212</x:v>
      </x:c>
      <x:c r="E176" s="233" t="str">
        <x:v>Medical and Pathology Laboratory Technicians</x:v>
      </x:c>
      <x:c r="F176" s="233" t="str">
        <x:v>UNRESOLVED</x:v>
      </x:c>
      <x:c r="G176" s="233"/>
      <x:c r="H176" s="233" t="str"/>
      <x:c r="I176" s="233"/>
      <x:c r="J176" s="233" t="str">
        <x:v>PENDING</x:v>
      </x:c>
      <x:c r="K176" s="233" t="str">
        <x:v>Minimal Exposure</x:v>
      </x:c>
      <x:c r="L176" s="296" t="n">
        <x:v>0.31</x:v>
      </x:c>
      <x:c r="M176" s="296" t="n">
        <x:v>0.16</x:v>
      </x:c>
      <x:c r="N176" s="233" t="n">
        <x:v>1</x:v>
      </x:c>
      <x:c r="O176" s="233" t="str">
        <x:v>DRAFT_ORDINAL_MAPPING</x:v>
      </x:c>
      <x:c r="P176" s="233" t="str">
        <x:v>VERIFIED</x:v>
      </x:c>
      <x:c r="Q176" s="235" t="str"/>
      <x:c r="R176" s="235" t="str"/>
      <x:c r="S176" s="233" t="str">
        <x:v>ILO_SCORE25</x:v>
      </x:c>
      <x:c r="T176" s="233" t="str">
        <x:v>WP140 online Annex, Table A1</x:v>
      </x:c>
      <x:c r="U176" s="235" t="str">
        <x:v>PENDING</x:v>
      </x:c>
      <x:c r="V176" s="235" t="str">
        <x:v>Codex</x:v>
      </x:c>
      <x:c r="W176" s="297" t="str">
        <x:v>KBJI–ISCO belum dipetakan; skor 0–5 adalah transformasi ordinal draft.</x:v>
      </x:c>
    </x:row>
    <x:row r="177">
      <x:c r="A177" s="293" t="str"/>
      <x:c r="B177" s="294" t="str"/>
      <x:c r="C177" s="235" t="str"/>
      <x:c r="D177" s="295" t="str">
        <x:v>7515</x:v>
      </x:c>
      <x:c r="E177" s="233" t="str">
        <x:v>Food and Beverage Tasters and Graders</x:v>
      </x:c>
      <x:c r="F177" s="233" t="str">
        <x:v>UNRESOLVED</x:v>
      </x:c>
      <x:c r="G177" s="233"/>
      <x:c r="H177" s="233" t="str"/>
      <x:c r="I177" s="233"/>
      <x:c r="J177" s="233" t="str">
        <x:v>PENDING</x:v>
      </x:c>
      <x:c r="K177" s="233" t="str">
        <x:v>Minimal Exposure</x:v>
      </x:c>
      <x:c r="L177" s="296" t="n">
        <x:v>0.31</x:v>
      </x:c>
      <x:c r="M177" s="296" t="n">
        <x:v>0.16</x:v>
      </x:c>
      <x:c r="N177" s="233" t="n">
        <x:v>1</x:v>
      </x:c>
      <x:c r="O177" s="233" t="str">
        <x:v>DRAFT_ORDINAL_MAPPING</x:v>
      </x:c>
      <x:c r="P177" s="233" t="str">
        <x:v>VERIFIED</x:v>
      </x:c>
      <x:c r="Q177" s="235" t="str"/>
      <x:c r="R177" s="235" t="str"/>
      <x:c r="S177" s="233" t="str">
        <x:v>ILO_SCORE25</x:v>
      </x:c>
      <x:c r="T177" s="233" t="str">
        <x:v>WP140 online Annex, Table A1</x:v>
      </x:c>
      <x:c r="U177" s="235" t="str">
        <x:v>PENDING</x:v>
      </x:c>
      <x:c r="V177" s="235" t="str">
        <x:v>Codex</x:v>
      </x:c>
      <x:c r="W177" s="297" t="str">
        <x:v>KBJI–ISCO belum dipetakan; skor 0–5 adalah transformasi ordinal draft.</x:v>
      </x:c>
    </x:row>
    <x:row r="178">
      <x:c r="A178" s="293" t="str"/>
      <x:c r="B178" s="294" t="str"/>
      <x:c r="C178" s="235" t="str"/>
      <x:c r="D178" s="295" t="str">
        <x:v>7543</x:v>
      </x:c>
      <x:c r="E178" s="233" t="str">
        <x:v>Product Graders and Testers (except Foods and Beverages)</x:v>
      </x:c>
      <x:c r="F178" s="233" t="str">
        <x:v>UNRESOLVED</x:v>
      </x:c>
      <x:c r="G178" s="233"/>
      <x:c r="H178" s="233" t="str"/>
      <x:c r="I178" s="233"/>
      <x:c r="J178" s="233" t="str">
        <x:v>PENDING</x:v>
      </x:c>
      <x:c r="K178" s="233" t="str">
        <x:v>Minimal Exposure</x:v>
      </x:c>
      <x:c r="L178" s="296" t="n">
        <x:v>0.31</x:v>
      </x:c>
      <x:c r="M178" s="296" t="n">
        <x:v>0.11</x:v>
      </x:c>
      <x:c r="N178" s="233" t="n">
        <x:v>1</x:v>
      </x:c>
      <x:c r="O178" s="233" t="str">
        <x:v>DRAFT_ORDINAL_MAPPING</x:v>
      </x:c>
      <x:c r="P178" s="233" t="str">
        <x:v>VERIFIED</x:v>
      </x:c>
      <x:c r="Q178" s="235" t="str"/>
      <x:c r="R178" s="235" t="str"/>
      <x:c r="S178" s="233" t="str">
        <x:v>ILO_SCORE25</x:v>
      </x:c>
      <x:c r="T178" s="233" t="str">
        <x:v>WP140 online Annex, Table A1</x:v>
      </x:c>
      <x:c r="U178" s="235" t="str">
        <x:v>PENDING</x:v>
      </x:c>
      <x:c r="V178" s="235" t="str">
        <x:v>Codex</x:v>
      </x:c>
      <x:c r="W178" s="297" t="str">
        <x:v>KBJI–ISCO belum dipetakan; skor 0–5 adalah transformasi ordinal draft.</x:v>
      </x:c>
    </x:row>
    <x:row r="179">
      <x:c r="A179" s="293" t="str"/>
      <x:c r="B179" s="294" t="str"/>
      <x:c r="C179" s="235" t="str"/>
      <x:c r="D179" s="295" t="str">
        <x:v>1341</x:v>
      </x:c>
      <x:c r="E179" s="233" t="str">
        <x:v>Child Care Service Managers</x:v>
      </x:c>
      <x:c r="F179" s="233" t="str">
        <x:v>UNRESOLVED</x:v>
      </x:c>
      <x:c r="G179" s="233"/>
      <x:c r="H179" s="233" t="str"/>
      <x:c r="I179" s="233"/>
      <x:c r="J179" s="233" t="str">
        <x:v>PENDING</x:v>
      </x:c>
      <x:c r="K179" s="233" t="str">
        <x:v>Minimal Exposure</x:v>
      </x:c>
      <x:c r="L179" s="296" t="n">
        <x:v>0.3</x:v>
      </x:c>
      <x:c r="M179" s="296" t="n">
        <x:v>0.15</x:v>
      </x:c>
      <x:c r="N179" s="233" t="n">
        <x:v>1</x:v>
      </x:c>
      <x:c r="O179" s="233" t="str">
        <x:v>DRAFT_ORDINAL_MAPPING</x:v>
      </x:c>
      <x:c r="P179" s="233" t="str">
        <x:v>VERIFIED</x:v>
      </x:c>
      <x:c r="Q179" s="235" t="str"/>
      <x:c r="R179" s="235" t="str"/>
      <x:c r="S179" s="233" t="str">
        <x:v>ILO_SCORE25</x:v>
      </x:c>
      <x:c r="T179" s="233" t="str">
        <x:v>WP140 online Annex, Table A1</x:v>
      </x:c>
      <x:c r="U179" s="235" t="str">
        <x:v>PENDING</x:v>
      </x:c>
      <x:c r="V179" s="235" t="str">
        <x:v>Codex</x:v>
      </x:c>
      <x:c r="W179" s="297" t="str">
        <x:v>KBJI–ISCO belum dipetakan; skor 0–5 adalah transformasi ordinal draft.</x:v>
      </x:c>
    </x:row>
    <x:row r="180">
      <x:c r="A180" s="293" t="str"/>
      <x:c r="B180" s="294" t="str"/>
      <x:c r="C180" s="235" t="str"/>
      <x:c r="D180" s="295" t="str">
        <x:v>2222</x:v>
      </x:c>
      <x:c r="E180" s="233" t="str">
        <x:v>Midwifery Professionals</x:v>
      </x:c>
      <x:c r="F180" s="233" t="str">
        <x:v>UNRESOLVED</x:v>
      </x:c>
      <x:c r="G180" s="233"/>
      <x:c r="H180" s="233" t="str"/>
      <x:c r="I180" s="233"/>
      <x:c r="J180" s="233" t="str">
        <x:v>PENDING</x:v>
      </x:c>
      <x:c r="K180" s="233" t="str">
        <x:v>Minimal Exposure</x:v>
      </x:c>
      <x:c r="L180" s="296" t="n">
        <x:v>0.3</x:v>
      </x:c>
      <x:c r="M180" s="296" t="n">
        <x:v>0.15</x:v>
      </x:c>
      <x:c r="N180" s="233" t="n">
        <x:v>1</x:v>
      </x:c>
      <x:c r="O180" s="233" t="str">
        <x:v>DRAFT_ORDINAL_MAPPING</x:v>
      </x:c>
      <x:c r="P180" s="233" t="str">
        <x:v>VERIFIED</x:v>
      </x:c>
      <x:c r="Q180" s="235" t="str"/>
      <x:c r="R180" s="235" t="str"/>
      <x:c r="S180" s="233" t="str">
        <x:v>ILO_SCORE25</x:v>
      </x:c>
      <x:c r="T180" s="233" t="str">
        <x:v>WP140 online Annex, Table A1</x:v>
      </x:c>
      <x:c r="U180" s="235" t="str">
        <x:v>PENDING</x:v>
      </x:c>
      <x:c r="V180" s="235" t="str">
        <x:v>Codex</x:v>
      </x:c>
      <x:c r="W180" s="297" t="str">
        <x:v>KBJI–ISCO belum dipetakan; skor 0–5 adalah transformasi ordinal draft.</x:v>
      </x:c>
    </x:row>
    <x:row r="181">
      <x:c r="A181" s="293" t="str"/>
      <x:c r="B181" s="294" t="str"/>
      <x:c r="C181" s="235" t="str"/>
      <x:c r="D181" s="295" t="str">
        <x:v>3213</x:v>
      </x:c>
      <x:c r="E181" s="233" t="str">
        <x:v>Pharmaceutical Technicians and Assistants</x:v>
      </x:c>
      <x:c r="F181" s="233" t="str">
        <x:v>UNRESOLVED</x:v>
      </x:c>
      <x:c r="G181" s="233"/>
      <x:c r="H181" s="233" t="str"/>
      <x:c r="I181" s="233"/>
      <x:c r="J181" s="233" t="str">
        <x:v>PENDING</x:v>
      </x:c>
      <x:c r="K181" s="233" t="str">
        <x:v>Minimal Exposure</x:v>
      </x:c>
      <x:c r="L181" s="296" t="n">
        <x:v>0.3</x:v>
      </x:c>
      <x:c r="M181" s="296" t="n">
        <x:v>0.12</x:v>
      </x:c>
      <x:c r="N181" s="233" t="n">
        <x:v>1</x:v>
      </x:c>
      <x:c r="O181" s="233" t="str">
        <x:v>DRAFT_ORDINAL_MAPPING</x:v>
      </x:c>
      <x:c r="P181" s="233" t="str">
        <x:v>VERIFIED</x:v>
      </x:c>
      <x:c r="Q181" s="235" t="str"/>
      <x:c r="R181" s="235" t="str"/>
      <x:c r="S181" s="233" t="str">
        <x:v>ILO_SCORE25</x:v>
      </x:c>
      <x:c r="T181" s="233" t="str">
        <x:v>WP140 online Annex, Table A1</x:v>
      </x:c>
      <x:c r="U181" s="235" t="str">
        <x:v>PENDING</x:v>
      </x:c>
      <x:c r="V181" s="235" t="str">
        <x:v>Codex</x:v>
      </x:c>
      <x:c r="W181" s="297" t="str">
        <x:v>KBJI–ISCO belum dipetakan; skor 0–5 adalah transformasi ordinal draft.</x:v>
      </x:c>
    </x:row>
    <x:row r="182">
      <x:c r="A182" s="293" t="str"/>
      <x:c r="B182" s="294" t="str"/>
      <x:c r="C182" s="235" t="str"/>
      <x:c r="D182" s="295" t="str">
        <x:v>3259</x:v>
      </x:c>
      <x:c r="E182" s="233" t="str">
        <x:v>Health Associate Professionals Not Elsewhere Classified</x:v>
      </x:c>
      <x:c r="F182" s="233" t="str">
        <x:v>UNRESOLVED</x:v>
      </x:c>
      <x:c r="G182" s="233"/>
      <x:c r="H182" s="233" t="str"/>
      <x:c r="I182" s="233"/>
      <x:c r="J182" s="233" t="str">
        <x:v>PENDING</x:v>
      </x:c>
      <x:c r="K182" s="233" t="str">
        <x:v>Minimal Exposure</x:v>
      </x:c>
      <x:c r="L182" s="296" t="n">
        <x:v>0.3</x:v>
      </x:c>
      <x:c r="M182" s="296" t="n">
        <x:v>0.15</x:v>
      </x:c>
      <x:c r="N182" s="233" t="n">
        <x:v>1</x:v>
      </x:c>
      <x:c r="O182" s="233" t="str">
        <x:v>DRAFT_ORDINAL_MAPPING</x:v>
      </x:c>
      <x:c r="P182" s="233" t="str">
        <x:v>VERIFIED</x:v>
      </x:c>
      <x:c r="Q182" s="235" t="str"/>
      <x:c r="R182" s="235" t="str"/>
      <x:c r="S182" s="233" t="str">
        <x:v>ILO_SCORE25</x:v>
      </x:c>
      <x:c r="T182" s="233" t="str">
        <x:v>WP140 online Annex, Table A1</x:v>
      </x:c>
      <x:c r="U182" s="235" t="str">
        <x:v>PENDING</x:v>
      </x:c>
      <x:c r="V182" s="235" t="str">
        <x:v>Codex</x:v>
      </x:c>
      <x:c r="W182" s="297" t="str">
        <x:v>KBJI–ISCO belum dipetakan; skor 0–5 adalah transformasi ordinal draft.</x:v>
      </x:c>
    </x:row>
    <x:row r="183">
      <x:c r="A183" s="293" t="str"/>
      <x:c r="B183" s="294" t="str"/>
      <x:c r="C183" s="235" t="str"/>
      <x:c r="D183" s="295" t="str">
        <x:v>5161</x:v>
      </x:c>
      <x:c r="E183" s="233" t="str">
        <x:v>Astrologers, Fortune-tellers and Related Workers</x:v>
      </x:c>
      <x:c r="F183" s="233" t="str">
        <x:v>UNRESOLVED</x:v>
      </x:c>
      <x:c r="G183" s="233"/>
      <x:c r="H183" s="233" t="str"/>
      <x:c r="I183" s="233"/>
      <x:c r="J183" s="233" t="str">
        <x:v>PENDING</x:v>
      </x:c>
      <x:c r="K183" s="233" t="str">
        <x:v>Minimal Exposure</x:v>
      </x:c>
      <x:c r="L183" s="296" t="n">
        <x:v>0.3</x:v>
      </x:c>
      <x:c r="M183" s="296" t="n">
        <x:v>0.16</x:v>
      </x:c>
      <x:c r="N183" s="233" t="n">
        <x:v>1</x:v>
      </x:c>
      <x:c r="O183" s="233" t="str">
        <x:v>DRAFT_ORDINAL_MAPPING</x:v>
      </x:c>
      <x:c r="P183" s="233" t="str">
        <x:v>VERIFIED</x:v>
      </x:c>
      <x:c r="Q183" s="235" t="str"/>
      <x:c r="R183" s="235" t="str"/>
      <x:c r="S183" s="233" t="str">
        <x:v>ILO_SCORE25</x:v>
      </x:c>
      <x:c r="T183" s="233" t="str">
        <x:v>WP140 online Annex, Table A1</x:v>
      </x:c>
      <x:c r="U183" s="235" t="str">
        <x:v>PENDING</x:v>
      </x:c>
      <x:c r="V183" s="235" t="str">
        <x:v>Codex</x:v>
      </x:c>
      <x:c r="W183" s="297" t="str">
        <x:v>KBJI–ISCO belum dipetakan; skor 0–5 adalah transformasi ordinal draft.</x:v>
      </x:c>
    </x:row>
    <x:row r="184">
      <x:c r="A184" s="293" t="str"/>
      <x:c r="B184" s="294" t="str"/>
      <x:c r="C184" s="235" t="str"/>
      <x:c r="D184" s="295" t="str">
        <x:v>9629</x:v>
      </x:c>
      <x:c r="E184" s="233" t="str">
        <x:v>Elementary Workers Not Elsewhere Classified</x:v>
      </x:c>
      <x:c r="F184" s="233" t="str">
        <x:v>UNRESOLVED</x:v>
      </x:c>
      <x:c r="G184" s="233"/>
      <x:c r="H184" s="233" t="str"/>
      <x:c r="I184" s="233"/>
      <x:c r="J184" s="233" t="str">
        <x:v>PENDING</x:v>
      </x:c>
      <x:c r="K184" s="233" t="str">
        <x:v>Minimal Exposure</x:v>
      </x:c>
      <x:c r="L184" s="296" t="n">
        <x:v>0.29</x:v>
      </x:c>
      <x:c r="M184" s="296" t="n">
        <x:v>0.14</x:v>
      </x:c>
      <x:c r="N184" s="233" t="n">
        <x:v>1</x:v>
      </x:c>
      <x:c r="O184" s="233" t="str">
        <x:v>DRAFT_ORDINAL_MAPPING</x:v>
      </x:c>
      <x:c r="P184" s="233" t="str">
        <x:v>VERIFIED</x:v>
      </x:c>
      <x:c r="Q184" s="235" t="str"/>
      <x:c r="R184" s="235" t="str"/>
      <x:c r="S184" s="233" t="str">
        <x:v>ILO_SCORE25</x:v>
      </x:c>
      <x:c r="T184" s="233" t="str">
        <x:v>WP140 online Annex, Table A1</x:v>
      </x:c>
      <x:c r="U184" s="235" t="str">
        <x:v>PENDING</x:v>
      </x:c>
      <x:c r="V184" s="235" t="str">
        <x:v>Codex</x:v>
      </x:c>
      <x:c r="W184" s="297" t="str">
        <x:v>KBJI–ISCO belum dipetakan; skor 0–5 adalah transformasi ordinal draft.</x:v>
      </x:c>
    </x:row>
    <x:row r="185">
      <x:c r="A185" s="293" t="str"/>
      <x:c r="B185" s="294" t="str"/>
      <x:c r="C185" s="235" t="str"/>
      <x:c r="D185" s="295" t="str">
        <x:v>2264</x:v>
      </x:c>
      <x:c r="E185" s="233" t="str">
        <x:v>Physiotherapists</x:v>
      </x:c>
      <x:c r="F185" s="233" t="str">
        <x:v>UNRESOLVED</x:v>
      </x:c>
      <x:c r="G185" s="233"/>
      <x:c r="H185" s="233" t="str"/>
      <x:c r="I185" s="233"/>
      <x:c r="J185" s="233" t="str">
        <x:v>PENDING</x:v>
      </x:c>
      <x:c r="K185" s="233" t="str">
        <x:v>Minimal Exposure</x:v>
      </x:c>
      <x:c r="L185" s="296" t="n">
        <x:v>0.28</x:v>
      </x:c>
      <x:c r="M185" s="296" t="n">
        <x:v>0.14</x:v>
      </x:c>
      <x:c r="N185" s="233" t="n">
        <x:v>1</x:v>
      </x:c>
      <x:c r="O185" s="233" t="str">
        <x:v>DRAFT_ORDINAL_MAPPING</x:v>
      </x:c>
      <x:c r="P185" s="233" t="str">
        <x:v>VERIFIED</x:v>
      </x:c>
      <x:c r="Q185" s="235" t="str"/>
      <x:c r="R185" s="235" t="str"/>
      <x:c r="S185" s="233" t="str">
        <x:v>ILO_SCORE25</x:v>
      </x:c>
      <x:c r="T185" s="233" t="str">
        <x:v>WP140 online Annex, Table A1</x:v>
      </x:c>
      <x:c r="U185" s="235" t="str">
        <x:v>PENDING</x:v>
      </x:c>
      <x:c r="V185" s="235" t="str">
        <x:v>Codex</x:v>
      </x:c>
      <x:c r="W185" s="297" t="str">
        <x:v>KBJI–ISCO belum dipetakan; skor 0–5 adalah transformasi ordinal draft.</x:v>
      </x:c>
    </x:row>
    <x:row r="186">
      <x:c r="A186" s="293" t="str"/>
      <x:c r="B186" s="294" t="str"/>
      <x:c r="C186" s="235" t="str"/>
      <x:c r="D186" s="295" t="str">
        <x:v>5131</x:v>
      </x:c>
      <x:c r="E186" s="233" t="str">
        <x:v>Waiters</x:v>
      </x:c>
      <x:c r="F186" s="233" t="str">
        <x:v>UNRESOLVED</x:v>
      </x:c>
      <x:c r="G186" s="233"/>
      <x:c r="H186" s="233" t="str"/>
      <x:c r="I186" s="233"/>
      <x:c r="J186" s="233" t="str">
        <x:v>PENDING</x:v>
      </x:c>
      <x:c r="K186" s="233" t="str">
        <x:v>Minimal Exposure</x:v>
      </x:c>
      <x:c r="L186" s="296" t="n">
        <x:v>0.28</x:v>
      </x:c>
      <x:c r="M186" s="296" t="n">
        <x:v>0.16</x:v>
      </x:c>
      <x:c r="N186" s="233" t="n">
        <x:v>1</x:v>
      </x:c>
      <x:c r="O186" s="233" t="str">
        <x:v>DRAFT_ORDINAL_MAPPING</x:v>
      </x:c>
      <x:c r="P186" s="233" t="str">
        <x:v>VERIFIED</x:v>
      </x:c>
      <x:c r="Q186" s="235" t="str"/>
      <x:c r="R186" s="235" t="str"/>
      <x:c r="S186" s="233" t="str">
        <x:v>ILO_SCORE25</x:v>
      </x:c>
      <x:c r="T186" s="233" t="str">
        <x:v>WP140 online Annex, Table A1</x:v>
      </x:c>
      <x:c r="U186" s="235" t="str">
        <x:v>PENDING</x:v>
      </x:c>
      <x:c r="V186" s="235" t="str">
        <x:v>Codex</x:v>
      </x:c>
      <x:c r="W186" s="297" t="str">
        <x:v>KBJI–ISCO belum dipetakan; skor 0–5 adalah transformasi ordinal draft.</x:v>
      </x:c>
    </x:row>
    <x:row r="187">
      <x:c r="A187" s="293" t="str"/>
      <x:c r="B187" s="294" t="str"/>
      <x:c r="C187" s="235" t="str"/>
      <x:c r="D187" s="295" t="str">
        <x:v>8171</x:v>
      </x:c>
      <x:c r="E187" s="233" t="str">
        <x:v>Pulp and Papermaking Plant Operators</x:v>
      </x:c>
      <x:c r="F187" s="233" t="str">
        <x:v>UNRESOLVED</x:v>
      </x:c>
      <x:c r="G187" s="233"/>
      <x:c r="H187" s="233" t="str"/>
      <x:c r="I187" s="233"/>
      <x:c r="J187" s="233" t="str">
        <x:v>PENDING</x:v>
      </x:c>
      <x:c r="K187" s="233" t="str">
        <x:v>Minimal Exposure</x:v>
      </x:c>
      <x:c r="L187" s="296" t="n">
        <x:v>0.28</x:v>
      </x:c>
      <x:c r="M187" s="296" t="n">
        <x:v>0.14</x:v>
      </x:c>
      <x:c r="N187" s="233" t="n">
        <x:v>1</x:v>
      </x:c>
      <x:c r="O187" s="233" t="str">
        <x:v>DRAFT_ORDINAL_MAPPING</x:v>
      </x:c>
      <x:c r="P187" s="233" t="str">
        <x:v>VERIFIED</x:v>
      </x:c>
      <x:c r="Q187" s="235" t="str"/>
      <x:c r="R187" s="235" t="str"/>
      <x:c r="S187" s="233" t="str">
        <x:v>ILO_SCORE25</x:v>
      </x:c>
      <x:c r="T187" s="233" t="str">
        <x:v>WP140 online Annex, Table A1</x:v>
      </x:c>
      <x:c r="U187" s="235" t="str">
        <x:v>PENDING</x:v>
      </x:c>
      <x:c r="V187" s="235" t="str">
        <x:v>Codex</x:v>
      </x:c>
      <x:c r="W187" s="297" t="str">
        <x:v>KBJI–ISCO belum dipetakan; skor 0–5 adalah transformasi ordinal draft.</x:v>
      </x:c>
    </x:row>
    <x:row r="188">
      <x:c r="A188" s="293" t="str"/>
      <x:c r="B188" s="294" t="str"/>
      <x:c r="C188" s="235" t="str"/>
      <x:c r="D188" s="295" t="str">
        <x:v>8212</x:v>
      </x:c>
      <x:c r="E188" s="233" t="str">
        <x:v>Electrical and Electronic Equipment Assemblers</x:v>
      </x:c>
      <x:c r="F188" s="233" t="str">
        <x:v>UNRESOLVED</x:v>
      </x:c>
      <x:c r="G188" s="233"/>
      <x:c r="H188" s="233" t="str"/>
      <x:c r="I188" s="233"/>
      <x:c r="J188" s="233" t="str">
        <x:v>PENDING</x:v>
      </x:c>
      <x:c r="K188" s="233" t="str">
        <x:v>Minimal Exposure</x:v>
      </x:c>
      <x:c r="L188" s="296" t="n">
        <x:v>0.28</x:v>
      </x:c>
      <x:c r="M188" s="296" t="n">
        <x:v>0.19</x:v>
      </x:c>
      <x:c r="N188" s="233" t="n">
        <x:v>1</x:v>
      </x:c>
      <x:c r="O188" s="233" t="str">
        <x:v>DRAFT_ORDINAL_MAPPING</x:v>
      </x:c>
      <x:c r="P188" s="233" t="str">
        <x:v>VERIFIED</x:v>
      </x:c>
      <x:c r="Q188" s="235" t="str"/>
      <x:c r="R188" s="235" t="str"/>
      <x:c r="S188" s="233" t="str">
        <x:v>ILO_SCORE25</x:v>
      </x:c>
      <x:c r="T188" s="233" t="str">
        <x:v>WP140 online Annex, Table A1</x:v>
      </x:c>
      <x:c r="U188" s="235" t="str">
        <x:v>PENDING</x:v>
      </x:c>
      <x:c r="V188" s="235" t="str">
        <x:v>Codex</x:v>
      </x:c>
      <x:c r="W188" s="297" t="str">
        <x:v>KBJI–ISCO belum dipetakan; skor 0–5 adalah transformasi ordinal draft.</x:v>
      </x:c>
    </x:row>
    <x:row r="189">
      <x:c r="A189" s="293" t="str"/>
      <x:c r="B189" s="294" t="str"/>
      <x:c r="C189" s="235" t="str"/>
      <x:c r="D189" s="295" t="str">
        <x:v>1311</x:v>
      </x:c>
      <x:c r="E189" s="233" t="str">
        <x:v>Agricultural and Forestry Production Managers</x:v>
      </x:c>
      <x:c r="F189" s="233" t="str">
        <x:v>UNRESOLVED</x:v>
      </x:c>
      <x:c r="G189" s="233"/>
      <x:c r="H189" s="233" t="str"/>
      <x:c r="I189" s="233"/>
      <x:c r="J189" s="233" t="str">
        <x:v>PENDING</x:v>
      </x:c>
      <x:c r="K189" s="233" t="str">
        <x:v>Minimal Exposure</x:v>
      </x:c>
      <x:c r="L189" s="296" t="n">
        <x:v>0.27</x:v>
      </x:c>
      <x:c r="M189" s="296" t="n">
        <x:v>0.13</x:v>
      </x:c>
      <x:c r="N189" s="233" t="n">
        <x:v>1</x:v>
      </x:c>
      <x:c r="O189" s="233" t="str">
        <x:v>DRAFT_ORDINAL_MAPPING</x:v>
      </x:c>
      <x:c r="P189" s="233" t="str">
        <x:v>VERIFIED</x:v>
      </x:c>
      <x:c r="Q189" s="235" t="str"/>
      <x:c r="R189" s="235" t="str"/>
      <x:c r="S189" s="233" t="str">
        <x:v>ILO_SCORE25</x:v>
      </x:c>
      <x:c r="T189" s="233" t="str">
        <x:v>WP140 online Annex, Table A1</x:v>
      </x:c>
      <x:c r="U189" s="235" t="str">
        <x:v>PENDING</x:v>
      </x:c>
      <x:c r="V189" s="235" t="str">
        <x:v>Codex</x:v>
      </x:c>
      <x:c r="W189" s="297" t="str">
        <x:v>KBJI–ISCO belum dipetakan; skor 0–5 adalah transformasi ordinal draft.</x:v>
      </x:c>
    </x:row>
    <x:row r="190">
      <x:c r="A190" s="293" t="str"/>
      <x:c r="B190" s="294" t="str"/>
      <x:c r="C190" s="235" t="str"/>
      <x:c r="D190" s="295" t="str">
        <x:v>5153</x:v>
      </x:c>
      <x:c r="E190" s="233" t="str">
        <x:v>Building Caretakers</x:v>
      </x:c>
      <x:c r="F190" s="233" t="str">
        <x:v>UNRESOLVED</x:v>
      </x:c>
      <x:c r="G190" s="233"/>
      <x:c r="H190" s="233" t="str"/>
      <x:c r="I190" s="233"/>
      <x:c r="J190" s="233" t="str">
        <x:v>PENDING</x:v>
      </x:c>
      <x:c r="K190" s="233" t="str">
        <x:v>Minimal Exposure</x:v>
      </x:c>
      <x:c r="L190" s="296" t="n">
        <x:v>0.27</x:v>
      </x:c>
      <x:c r="M190" s="296" t="n">
        <x:v>0.16</x:v>
      </x:c>
      <x:c r="N190" s="233" t="n">
        <x:v>1</x:v>
      </x:c>
      <x:c r="O190" s="233" t="str">
        <x:v>DRAFT_ORDINAL_MAPPING</x:v>
      </x:c>
      <x:c r="P190" s="233" t="str">
        <x:v>VERIFIED</x:v>
      </x:c>
      <x:c r="Q190" s="235" t="str"/>
      <x:c r="R190" s="235" t="str"/>
      <x:c r="S190" s="233" t="str">
        <x:v>ILO_SCORE25</x:v>
      </x:c>
      <x:c r="T190" s="233" t="str">
        <x:v>WP140 online Annex, Table A1</x:v>
      </x:c>
      <x:c r="U190" s="235" t="str">
        <x:v>PENDING</x:v>
      </x:c>
      <x:c r="V190" s="235" t="str">
        <x:v>Codex</x:v>
      </x:c>
      <x:c r="W190" s="297" t="str">
        <x:v>KBJI–ISCO belum dipetakan; skor 0–5 adalah transformasi ordinal draft.</x:v>
      </x:c>
    </x:row>
    <x:row r="191">
      <x:c r="A191" s="293" t="str"/>
      <x:c r="B191" s="294" t="str"/>
      <x:c r="C191" s="235" t="str"/>
      <x:c r="D191" s="295" t="str">
        <x:v>8211</x:v>
      </x:c>
      <x:c r="E191" s="233" t="str">
        <x:v>Mechanical Machinery Assemblers</x:v>
      </x:c>
      <x:c r="F191" s="233" t="str">
        <x:v>UNRESOLVED</x:v>
      </x:c>
      <x:c r="G191" s="233"/>
      <x:c r="H191" s="233" t="str"/>
      <x:c r="I191" s="233"/>
      <x:c r="J191" s="233" t="str">
        <x:v>PENDING</x:v>
      </x:c>
      <x:c r="K191" s="233" t="str">
        <x:v>Minimal Exposure</x:v>
      </x:c>
      <x:c r="L191" s="296" t="n">
        <x:v>0.27</x:v>
      </x:c>
      <x:c r="M191" s="296" t="n">
        <x:v>0.17</x:v>
      </x:c>
      <x:c r="N191" s="233" t="n">
        <x:v>1</x:v>
      </x:c>
      <x:c r="O191" s="233" t="str">
        <x:v>DRAFT_ORDINAL_MAPPING</x:v>
      </x:c>
      <x:c r="P191" s="233" t="str">
        <x:v>VERIFIED</x:v>
      </x:c>
      <x:c r="Q191" s="235" t="str"/>
      <x:c r="R191" s="235" t="str"/>
      <x:c r="S191" s="233" t="str">
        <x:v>ILO_SCORE25</x:v>
      </x:c>
      <x:c r="T191" s="233" t="str">
        <x:v>WP140 online Annex, Table A1</x:v>
      </x:c>
      <x:c r="U191" s="235" t="str">
        <x:v>PENDING</x:v>
      </x:c>
      <x:c r="V191" s="235" t="str">
        <x:v>Codex</x:v>
      </x:c>
      <x:c r="W191" s="297" t="str">
        <x:v>KBJI–ISCO belum dipetakan; skor 0–5 adalah transformasi ordinal draft.</x:v>
      </x:c>
    </x:row>
    <x:row r="192">
      <x:c r="A192" s="293" t="str"/>
      <x:c r="B192" s="294" t="str"/>
      <x:c r="C192" s="235" t="str"/>
      <x:c r="D192" s="295" t="str">
        <x:v>5112</x:v>
      </x:c>
      <x:c r="E192" s="233" t="str">
        <x:v>Transport Conductors</x:v>
      </x:c>
      <x:c r="F192" s="233" t="str">
        <x:v>UNRESOLVED</x:v>
      </x:c>
      <x:c r="G192" s="233"/>
      <x:c r="H192" s="233" t="str"/>
      <x:c r="I192" s="233"/>
      <x:c r="J192" s="233" t="str">
        <x:v>PENDING</x:v>
      </x:c>
      <x:c r="K192" s="233" t="str">
        <x:v>Minimal Exposure</x:v>
      </x:c>
      <x:c r="L192" s="296" t="n">
        <x:v>0.25</x:v>
      </x:c>
      <x:c r="M192" s="296" t="n">
        <x:v>0.17</x:v>
      </x:c>
      <x:c r="N192" s="233" t="n">
        <x:v>1</x:v>
      </x:c>
      <x:c r="O192" s="233" t="str">
        <x:v>DRAFT_ORDINAL_MAPPING</x:v>
      </x:c>
      <x:c r="P192" s="233" t="str">
        <x:v>VERIFIED</x:v>
      </x:c>
      <x:c r="Q192" s="235" t="str"/>
      <x:c r="R192" s="235" t="str"/>
      <x:c r="S192" s="233" t="str">
        <x:v>ILO_SCORE25</x:v>
      </x:c>
      <x:c r="T192" s="233" t="str">
        <x:v>WP140 online Annex, Table A1</x:v>
      </x:c>
      <x:c r="U192" s="235" t="str">
        <x:v>PENDING</x:v>
      </x:c>
      <x:c r="V192" s="235" t="str">
        <x:v>Codex</x:v>
      </x:c>
      <x:c r="W192" s="297" t="str">
        <x:v>KBJI–ISCO belum dipetakan; skor 0–5 adalah transformasi ordinal draft.</x:v>
      </x:c>
    </x:row>
    <x:row r="193">
      <x:c r="A193" s="293" t="str"/>
      <x:c r="B193" s="294" t="str"/>
      <x:c r="C193" s="235" t="str"/>
      <x:c r="D193" s="295" t="str">
        <x:v>5322</x:v>
      </x:c>
      <x:c r="E193" s="233" t="str">
        <x:v>Home-based Personal Care Workers</x:v>
      </x:c>
      <x:c r="F193" s="233" t="str">
        <x:v>UNRESOLVED</x:v>
      </x:c>
      <x:c r="G193" s="233"/>
      <x:c r="H193" s="233" t="str"/>
      <x:c r="I193" s="233"/>
      <x:c r="J193" s="233" t="str">
        <x:v>PENDING</x:v>
      </x:c>
      <x:c r="K193" s="233" t="str">
        <x:v>Minimal Exposure</x:v>
      </x:c>
      <x:c r="L193" s="296" t="n">
        <x:v>0.25</x:v>
      </x:c>
      <x:c r="M193" s="296" t="n">
        <x:v>0.18</x:v>
      </x:c>
      <x:c r="N193" s="233" t="n">
        <x:v>1</x:v>
      </x:c>
      <x:c r="O193" s="233" t="str">
        <x:v>DRAFT_ORDINAL_MAPPING</x:v>
      </x:c>
      <x:c r="P193" s="233" t="str">
        <x:v>VERIFIED</x:v>
      </x:c>
      <x:c r="Q193" s="235" t="str"/>
      <x:c r="R193" s="235" t="str"/>
      <x:c r="S193" s="233" t="str">
        <x:v>ILO_SCORE25</x:v>
      </x:c>
      <x:c r="T193" s="233" t="str">
        <x:v>WP140 online Annex, Table A1</x:v>
      </x:c>
      <x:c r="U193" s="235" t="str">
        <x:v>PENDING</x:v>
      </x:c>
      <x:c r="V193" s="235" t="str">
        <x:v>Codex</x:v>
      </x:c>
      <x:c r="W193" s="297" t="str">
        <x:v>KBJI–ISCO belum dipetakan; skor 0–5 adalah transformasi ordinal draft.</x:v>
      </x:c>
    </x:row>
    <x:row r="194">
      <x:c r="A194" s="293" t="str"/>
      <x:c r="B194" s="294" t="str"/>
      <x:c r="C194" s="235" t="str"/>
      <x:c r="D194" s="295" t="str">
        <x:v>8321</x:v>
      </x:c>
      <x:c r="E194" s="233" t="str">
        <x:v>Motorcycle Drivers</x:v>
      </x:c>
      <x:c r="F194" s="233" t="str">
        <x:v>UNRESOLVED</x:v>
      </x:c>
      <x:c r="G194" s="233"/>
      <x:c r="H194" s="233" t="str"/>
      <x:c r="I194" s="233"/>
      <x:c r="J194" s="233" t="str">
        <x:v>PENDING</x:v>
      </x:c>
      <x:c r="K194" s="233" t="str">
        <x:v>Minimal Exposure</x:v>
      </x:c>
      <x:c r="L194" s="296" t="n">
        <x:v>0.25</x:v>
      </x:c>
      <x:c r="M194" s="296" t="n">
        <x:v>0.17</x:v>
      </x:c>
      <x:c r="N194" s="233" t="n">
        <x:v>1</x:v>
      </x:c>
      <x:c r="O194" s="233" t="str">
        <x:v>DRAFT_ORDINAL_MAPPING</x:v>
      </x:c>
      <x:c r="P194" s="233" t="str">
        <x:v>VERIFIED</x:v>
      </x:c>
      <x:c r="Q194" s="235" t="str"/>
      <x:c r="R194" s="235" t="str"/>
      <x:c r="S194" s="233" t="str">
        <x:v>ILO_SCORE25</x:v>
      </x:c>
      <x:c r="T194" s="233" t="str">
        <x:v>WP140 online Annex, Table A1</x:v>
      </x:c>
      <x:c r="U194" s="235" t="str">
        <x:v>PENDING</x:v>
      </x:c>
      <x:c r="V194" s="235" t="str">
        <x:v>Codex</x:v>
      </x:c>
      <x:c r="W194" s="297" t="str">
        <x:v>KBJI–ISCO belum dipetakan; skor 0–5 adalah transformasi ordinal draft.</x:v>
      </x:c>
    </x:row>
    <x:row r="195">
      <x:c r="A195" s="293" t="str"/>
      <x:c r="B195" s="294" t="str"/>
      <x:c r="C195" s="235" t="str"/>
      <x:c r="D195" s="295" t="str">
        <x:v>5245</x:v>
      </x:c>
      <x:c r="E195" s="233" t="str">
        <x:v>Service Station Attendants</x:v>
      </x:c>
      <x:c r="F195" s="233" t="str">
        <x:v>UNRESOLVED</x:v>
      </x:c>
      <x:c r="G195" s="233"/>
      <x:c r="H195" s="233" t="str"/>
      <x:c r="I195" s="233"/>
      <x:c r="J195" s="233" t="str">
        <x:v>PENDING</x:v>
      </x:c>
      <x:c r="K195" s="233" t="str">
        <x:v>Minimal Exposure</x:v>
      </x:c>
      <x:c r="L195" s="296" t="n">
        <x:v>0.24</x:v>
      </x:c>
      <x:c r="M195" s="296" t="n">
        <x:v>0.16</x:v>
      </x:c>
      <x:c r="N195" s="233" t="n">
        <x:v>1</x:v>
      </x:c>
      <x:c r="O195" s="233" t="str">
        <x:v>DRAFT_ORDINAL_MAPPING</x:v>
      </x:c>
      <x:c r="P195" s="233" t="str">
        <x:v>VERIFIED</x:v>
      </x:c>
      <x:c r="Q195" s="235" t="str"/>
      <x:c r="R195" s="235" t="str"/>
      <x:c r="S195" s="233" t="str">
        <x:v>ILO_SCORE25</x:v>
      </x:c>
      <x:c r="T195" s="233" t="str">
        <x:v>WP140 online Annex, Table A1</x:v>
      </x:c>
      <x:c r="U195" s="235" t="str">
        <x:v>PENDING</x:v>
      </x:c>
      <x:c r="V195" s="235" t="str">
        <x:v>Codex</x:v>
      </x:c>
      <x:c r="W195" s="297" t="str">
        <x:v>KBJI–ISCO belum dipetakan; skor 0–5 adalah transformasi ordinal draft.</x:v>
      </x:c>
    </x:row>
    <x:row r="196">
      <x:c r="A196" s="293" t="str"/>
      <x:c r="B196" s="294" t="str"/>
      <x:c r="C196" s="235" t="str"/>
      <x:c r="D196" s="295" t="str">
        <x:v>8332</x:v>
      </x:c>
      <x:c r="E196" s="233" t="str">
        <x:v>Heavy Truck and Lorry Drivers</x:v>
      </x:c>
      <x:c r="F196" s="233" t="str">
        <x:v>UNRESOLVED</x:v>
      </x:c>
      <x:c r="G196" s="233"/>
      <x:c r="H196" s="233" t="str"/>
      <x:c r="I196" s="233"/>
      <x:c r="J196" s="233" t="str">
        <x:v>PENDING</x:v>
      </x:c>
      <x:c r="K196" s="233" t="str">
        <x:v>Minimal Exposure</x:v>
      </x:c>
      <x:c r="L196" s="296" t="n">
        <x:v>0.24</x:v>
      </x:c>
      <x:c r="M196" s="296" t="n">
        <x:v>0.22</x:v>
      </x:c>
      <x:c r="N196" s="233" t="n">
        <x:v>1</x:v>
      </x:c>
      <x:c r="O196" s="233" t="str">
        <x:v>DRAFT_ORDINAL_MAPPING</x:v>
      </x:c>
      <x:c r="P196" s="233" t="str">
        <x:v>VERIFIED</x:v>
      </x:c>
      <x:c r="Q196" s="235" t="str"/>
      <x:c r="R196" s="235" t="str"/>
      <x:c r="S196" s="233" t="str">
        <x:v>ILO_SCORE25</x:v>
      </x:c>
      <x:c r="T196" s="233" t="str">
        <x:v>WP140 online Annex, Table A1</x:v>
      </x:c>
      <x:c r="U196" s="235" t="str">
        <x:v>PENDING</x:v>
      </x:c>
      <x:c r="V196" s="235" t="str">
        <x:v>Codex</x:v>
      </x:c>
      <x:c r="W196" s="297" t="str">
        <x:v>KBJI–ISCO belum dipetakan; skor 0–5 adalah transformasi ordinal draft.</x:v>
      </x:c>
    </x:row>
    <x:row r="197">
      <x:c r="A197" s="293" t="str"/>
      <x:c r="B197" s="294" t="str"/>
      <x:c r="C197" s="235" t="str"/>
      <x:c r="D197" s="295" t="str">
        <x:v>3221</x:v>
      </x:c>
      <x:c r="E197" s="233" t="str">
        <x:v>Nursing Associate Professionals</x:v>
      </x:c>
      <x:c r="F197" s="233" t="str">
        <x:v>UNRESOLVED</x:v>
      </x:c>
      <x:c r="G197" s="233"/>
      <x:c r="H197" s="233" t="str"/>
      <x:c r="I197" s="233"/>
      <x:c r="J197" s="233" t="str">
        <x:v>PENDING</x:v>
      </x:c>
      <x:c r="K197" s="233" t="str">
        <x:v>Minimal Exposure</x:v>
      </x:c>
      <x:c r="L197" s="296" t="n">
        <x:v>0.22</x:v>
      </x:c>
      <x:c r="M197" s="296" t="n">
        <x:v>0.21</x:v>
      </x:c>
      <x:c r="N197" s="233" t="n">
        <x:v>1</x:v>
      </x:c>
      <x:c r="O197" s="233" t="str">
        <x:v>DRAFT_ORDINAL_MAPPING</x:v>
      </x:c>
      <x:c r="P197" s="233" t="str">
        <x:v>VERIFIED</x:v>
      </x:c>
      <x:c r="Q197" s="235" t="str"/>
      <x:c r="R197" s="235" t="str"/>
      <x:c r="S197" s="233" t="str">
        <x:v>ILO_SCORE25</x:v>
      </x:c>
      <x:c r="T197" s="233" t="str">
        <x:v>WP140 online Annex, Table A1</x:v>
      </x:c>
      <x:c r="U197" s="235" t="str">
        <x:v>PENDING</x:v>
      </x:c>
      <x:c r="V197" s="235" t="str">
        <x:v>Codex</x:v>
      </x:c>
      <x:c r="W197" s="297" t="str">
        <x:v>KBJI–ISCO belum dipetakan; skor 0–5 adalah transformasi ordinal draft.</x:v>
      </x:c>
    </x:row>
    <x:row r="198">
      <x:c r="A198" s="293" t="str"/>
      <x:c r="B198" s="294" t="str"/>
      <x:c r="C198" s="235" t="str"/>
      <x:c r="D198" s="295" t="str">
        <x:v>1213</x:v>
      </x:c>
      <x:c r="E198" s="233" t="str">
        <x:v>Policy and Planning Managers</x:v>
      </x:c>
      <x:c r="F198" s="233" t="str">
        <x:v>UNRESOLVED</x:v>
      </x:c>
      <x:c r="G198" s="233"/>
      <x:c r="H198" s="233" t="str"/>
      <x:c r="I198" s="233"/>
      <x:c r="J198" s="233" t="str">
        <x:v>PENDING</x:v>
      </x:c>
      <x:c r="K198" s="233" t="str">
        <x:v>Not Exposed</x:v>
      </x:c>
      <x:c r="L198" s="296" t="n">
        <x:v>0.36</x:v>
      </x:c>
      <x:c r="M198" s="296" t="n">
        <x:v>0.04</x:v>
      </x:c>
      <x:c r="N198" s="233" t="n">
        <x:v>0</x:v>
      </x:c>
      <x:c r="O198" s="233" t="str">
        <x:v>DRAFT_ORDINAL_MAPPING</x:v>
      </x:c>
      <x:c r="P198" s="233" t="str">
        <x:v>VERIFIED</x:v>
      </x:c>
      <x:c r="Q198" s="235" t="str"/>
      <x:c r="R198" s="235" t="str"/>
      <x:c r="S198" s="233" t="str">
        <x:v>ILO_SCORE25</x:v>
      </x:c>
      <x:c r="T198" s="233" t="str">
        <x:v>WP140 online Annex, Table A1</x:v>
      </x:c>
      <x:c r="U198" s="235" t="str">
        <x:v>PENDING</x:v>
      </x:c>
      <x:c r="V198" s="235" t="str">
        <x:v>Codex</x:v>
      </x:c>
      <x:c r="W198" s="297" t="str">
        <x:v>KBJI–ISCO belum dipetakan; skor 0–5 adalah transformasi ordinal draft.</x:v>
      </x:c>
    </x:row>
    <x:row r="199">
      <x:c r="A199" s="293" t="str"/>
      <x:c r="B199" s="294" t="str"/>
      <x:c r="C199" s="235" t="str"/>
      <x:c r="D199" s="295" t="str">
        <x:v>2144</x:v>
      </x:c>
      <x:c r="E199" s="233" t="str">
        <x:v>Mechanical Engineers</x:v>
      </x:c>
      <x:c r="F199" s="233" t="str">
        <x:v>UNRESOLVED</x:v>
      </x:c>
      <x:c r="G199" s="233"/>
      <x:c r="H199" s="233" t="str"/>
      <x:c r="I199" s="233"/>
      <x:c r="J199" s="233" t="str">
        <x:v>PENDING</x:v>
      </x:c>
      <x:c r="K199" s="233" t="str">
        <x:v>Not Exposed</x:v>
      </x:c>
      <x:c r="L199" s="296" t="n">
        <x:v>0.32</x:v>
      </x:c>
      <x:c r="M199" s="296" t="n">
        <x:v>0.07</x:v>
      </x:c>
      <x:c r="N199" s="233" t="n">
        <x:v>0</x:v>
      </x:c>
      <x:c r="O199" s="233" t="str">
        <x:v>DRAFT_ORDINAL_MAPPING</x:v>
      </x:c>
      <x:c r="P199" s="233" t="str">
        <x:v>VERIFIED</x:v>
      </x:c>
      <x:c r="Q199" s="235" t="str"/>
      <x:c r="R199" s="235" t="str"/>
      <x:c r="S199" s="233" t="str">
        <x:v>ILO_SCORE25</x:v>
      </x:c>
      <x:c r="T199" s="233" t="str">
        <x:v>WP140 online Annex, Table A1</x:v>
      </x:c>
      <x:c r="U199" s="235" t="str">
        <x:v>PENDING</x:v>
      </x:c>
      <x:c r="V199" s="235" t="str">
        <x:v>Codex</x:v>
      </x:c>
      <x:c r="W199" s="297" t="str">
        <x:v>KBJI–ISCO belum dipetakan; skor 0–5 adalah transformasi ordinal draft.</x:v>
      </x:c>
    </x:row>
    <x:row r="200">
      <x:c r="A200" s="293" t="str"/>
      <x:c r="B200" s="294" t="str"/>
      <x:c r="C200" s="235" t="str"/>
      <x:c r="D200" s="295" t="str">
        <x:v>3116</x:v>
      </x:c>
      <x:c r="E200" s="233" t="str">
        <x:v>Chemical Engineering Technicians</x:v>
      </x:c>
      <x:c r="F200" s="233" t="str">
        <x:v>UNRESOLVED</x:v>
      </x:c>
      <x:c r="G200" s="233"/>
      <x:c r="H200" s="233" t="str"/>
      <x:c r="I200" s="233"/>
      <x:c r="J200" s="233" t="str">
        <x:v>PENDING</x:v>
      </x:c>
      <x:c r="K200" s="233" t="str">
        <x:v>Not Exposed</x:v>
      </x:c>
      <x:c r="L200" s="296" t="n">
        <x:v>0.32</x:v>
      </x:c>
      <x:c r="M200" s="296" t="n">
        <x:v>0.02</x:v>
      </x:c>
      <x:c r="N200" s="233" t="n">
        <x:v>0</x:v>
      </x:c>
      <x:c r="O200" s="233" t="str">
        <x:v>DRAFT_ORDINAL_MAPPING</x:v>
      </x:c>
      <x:c r="P200" s="233" t="str">
        <x:v>VERIFIED</x:v>
      </x:c>
      <x:c r="Q200" s="235" t="str"/>
      <x:c r="R200" s="235" t="str"/>
      <x:c r="S200" s="233" t="str">
        <x:v>ILO_SCORE25</x:v>
      </x:c>
      <x:c r="T200" s="233" t="str">
        <x:v>WP140 online Annex, Table A1</x:v>
      </x:c>
      <x:c r="U200" s="235" t="str">
        <x:v>PENDING</x:v>
      </x:c>
      <x:c r="V200" s="235" t="str">
        <x:v>Codex</x:v>
      </x:c>
      <x:c r="W200" s="297" t="str">
        <x:v>KBJI–ISCO belum dipetakan; skor 0–5 adalah transformasi ordinal draft.</x:v>
      </x:c>
    </x:row>
    <x:row r="201">
      <x:c r="A201" s="293" t="str"/>
      <x:c r="B201" s="294" t="str"/>
      <x:c r="C201" s="235" t="str"/>
      <x:c r="D201" s="295" t="str">
        <x:v>1111</x:v>
      </x:c>
      <x:c r="E201" s="233" t="str">
        <x:v>Legislators</x:v>
      </x:c>
      <x:c r="F201" s="233" t="str">
        <x:v>UNRESOLVED</x:v>
      </x:c>
      <x:c r="G201" s="233"/>
      <x:c r="H201" s="233" t="str"/>
      <x:c r="I201" s="233"/>
      <x:c r="J201" s="233" t="str">
        <x:v>PENDING</x:v>
      </x:c>
      <x:c r="K201" s="233" t="str">
        <x:v>Not Exposed</x:v>
      </x:c>
      <x:c r="L201" s="296" t="n">
        <x:v>0.31</x:v>
      </x:c>
      <x:c r="M201" s="296" t="n">
        <x:v>0.04</x:v>
      </x:c>
      <x:c r="N201" s="233" t="n">
        <x:v>0</x:v>
      </x:c>
      <x:c r="O201" s="233" t="str">
        <x:v>DRAFT_ORDINAL_MAPPING</x:v>
      </x:c>
      <x:c r="P201" s="233" t="str">
        <x:v>VERIFIED</x:v>
      </x:c>
      <x:c r="Q201" s="235" t="str"/>
      <x:c r="R201" s="235" t="str"/>
      <x:c r="S201" s="233" t="str">
        <x:v>ILO_SCORE25</x:v>
      </x:c>
      <x:c r="T201" s="233" t="str">
        <x:v>WP140 online Annex, Table A1</x:v>
      </x:c>
      <x:c r="U201" s="235" t="str">
        <x:v>PENDING</x:v>
      </x:c>
      <x:c r="V201" s="235" t="str">
        <x:v>Codex</x:v>
      </x:c>
      <x:c r="W201" s="297" t="str">
        <x:v>KBJI–ISCO belum dipetakan; skor 0–5 adalah transformasi ordinal draft.</x:v>
      </x:c>
    </x:row>
    <x:row r="202">
      <x:c r="A202" s="293" t="str"/>
      <x:c r="B202" s="294" t="str"/>
      <x:c r="C202" s="235" t="str"/>
      <x:c r="D202" s="295" t="str">
        <x:v>2151</x:v>
      </x:c>
      <x:c r="E202" s="233" t="str">
        <x:v>Electrical Engineers</x:v>
      </x:c>
      <x:c r="F202" s="233" t="str">
        <x:v>UNRESOLVED</x:v>
      </x:c>
      <x:c r="G202" s="233"/>
      <x:c r="H202" s="233" t="str"/>
      <x:c r="I202" s="233"/>
      <x:c r="J202" s="233" t="str">
        <x:v>PENDING</x:v>
      </x:c>
      <x:c r="K202" s="233" t="str">
        <x:v>Not Exposed</x:v>
      </x:c>
      <x:c r="L202" s="296" t="n">
        <x:v>0.31</x:v>
      </x:c>
      <x:c r="M202" s="296" t="n">
        <x:v>0.08</x:v>
      </x:c>
      <x:c r="N202" s="233" t="n">
        <x:v>0</x:v>
      </x:c>
      <x:c r="O202" s="233" t="str">
        <x:v>DRAFT_ORDINAL_MAPPING</x:v>
      </x:c>
      <x:c r="P202" s="233" t="str">
        <x:v>VERIFIED</x:v>
      </x:c>
      <x:c r="Q202" s="235" t="str"/>
      <x:c r="R202" s="235" t="str"/>
      <x:c r="S202" s="233" t="str">
        <x:v>ILO_SCORE25</x:v>
      </x:c>
      <x:c r="T202" s="233" t="str">
        <x:v>WP140 online Annex, Table A1</x:v>
      </x:c>
      <x:c r="U202" s="235" t="str">
        <x:v>PENDING</x:v>
      </x:c>
      <x:c r="V202" s="235" t="str">
        <x:v>Codex</x:v>
      </x:c>
      <x:c r="W202" s="297" t="str">
        <x:v>KBJI–ISCO belum dipetakan; skor 0–5 adalah transformasi ordinal draft.</x:v>
      </x:c>
    </x:row>
    <x:row r="203">
      <x:c r="A203" s="293" t="str"/>
      <x:c r="B203" s="294" t="str"/>
      <x:c r="C203" s="235" t="str"/>
      <x:c r="D203" s="295" t="str">
        <x:v>2612</x:v>
      </x:c>
      <x:c r="E203" s="233" t="str">
        <x:v>Judges</x:v>
      </x:c>
      <x:c r="F203" s="233" t="str">
        <x:v>UNRESOLVED</x:v>
      </x:c>
      <x:c r="G203" s="233"/>
      <x:c r="H203" s="233" t="str"/>
      <x:c r="I203" s="233"/>
      <x:c r="J203" s="233" t="str">
        <x:v>PENDING</x:v>
      </x:c>
      <x:c r="K203" s="233" t="str">
        <x:v>Not Exposed</x:v>
      </x:c>
      <x:c r="L203" s="296" t="n">
        <x:v>0.31</x:v>
      </x:c>
      <x:c r="M203" s="296" t="n">
        <x:v>0.08</x:v>
      </x:c>
      <x:c r="N203" s="233" t="n">
        <x:v>0</x:v>
      </x:c>
      <x:c r="O203" s="233" t="str">
        <x:v>DRAFT_ORDINAL_MAPPING</x:v>
      </x:c>
      <x:c r="P203" s="233" t="str">
        <x:v>VERIFIED</x:v>
      </x:c>
      <x:c r="Q203" s="235" t="str"/>
      <x:c r="R203" s="235" t="str"/>
      <x:c r="S203" s="233" t="str">
        <x:v>ILO_SCORE25</x:v>
      </x:c>
      <x:c r="T203" s="233" t="str">
        <x:v>WP140 online Annex, Table A1</x:v>
      </x:c>
      <x:c r="U203" s="235" t="str">
        <x:v>PENDING</x:v>
      </x:c>
      <x:c r="V203" s="235" t="str">
        <x:v>Codex</x:v>
      </x:c>
      <x:c r="W203" s="297" t="str">
        <x:v>KBJI–ISCO belum dipetakan; skor 0–5 adalah transformasi ordinal draft.</x:v>
      </x:c>
    </x:row>
    <x:row r="204">
      <x:c r="A204" s="293" t="str"/>
      <x:c r="B204" s="294" t="str"/>
      <x:c r="C204" s="235" t="str"/>
      <x:c r="D204" s="295" t="str">
        <x:v>2142</x:v>
      </x:c>
      <x:c r="E204" s="233" t="str">
        <x:v>Civil Engineers</x:v>
      </x:c>
      <x:c r="F204" s="233" t="str">
        <x:v>UNRESOLVED</x:v>
      </x:c>
      <x:c r="G204" s="233"/>
      <x:c r="H204" s="233" t="str"/>
      <x:c r="I204" s="233"/>
      <x:c r="J204" s="233" t="str">
        <x:v>PENDING</x:v>
      </x:c>
      <x:c r="K204" s="233" t="str">
        <x:v>Not Exposed</x:v>
      </x:c>
      <x:c r="L204" s="296" t="n">
        <x:v>0.3</x:v>
      </x:c>
      <x:c r="M204" s="296" t="n">
        <x:v>0.06</x:v>
      </x:c>
      <x:c r="N204" s="233" t="n">
        <x:v>0</x:v>
      </x:c>
      <x:c r="O204" s="233" t="str">
        <x:v>DRAFT_ORDINAL_MAPPING</x:v>
      </x:c>
      <x:c r="P204" s="233" t="str">
        <x:v>VERIFIED</x:v>
      </x:c>
      <x:c r="Q204" s="235" t="str"/>
      <x:c r="R204" s="235" t="str"/>
      <x:c r="S204" s="233" t="str">
        <x:v>ILO_SCORE25</x:v>
      </x:c>
      <x:c r="T204" s="233" t="str">
        <x:v>WP140 online Annex, Table A1</x:v>
      </x:c>
      <x:c r="U204" s="235" t="str">
        <x:v>PENDING</x:v>
      </x:c>
      <x:c r="V204" s="235" t="str">
        <x:v>Codex</x:v>
      </x:c>
      <x:c r="W204" s="297" t="str">
        <x:v>KBJI–ISCO belum dipetakan; skor 0–5 adalah transformasi ordinal draft.</x:v>
      </x:c>
    </x:row>
    <x:row r="205">
      <x:c r="A205" s="293" t="str"/>
      <x:c r="B205" s="294" t="str"/>
      <x:c r="C205" s="235" t="str"/>
      <x:c r="D205" s="295" t="str">
        <x:v>2149</x:v>
      </x:c>
      <x:c r="E205" s="233" t="str">
        <x:v>Engineering Professionals Not Elsewhere Classified</x:v>
      </x:c>
      <x:c r="F205" s="233" t="str">
        <x:v>UNRESOLVED</x:v>
      </x:c>
      <x:c r="G205" s="233"/>
      <x:c r="H205" s="233" t="str"/>
      <x:c r="I205" s="233"/>
      <x:c r="J205" s="233" t="str">
        <x:v>PENDING</x:v>
      </x:c>
      <x:c r="K205" s="233" t="str">
        <x:v>Not Exposed</x:v>
      </x:c>
      <x:c r="L205" s="296" t="n">
        <x:v>0.3</x:v>
      </x:c>
      <x:c r="M205" s="296" t="n">
        <x:v>0.08</x:v>
      </x:c>
      <x:c r="N205" s="233" t="n">
        <x:v>0</x:v>
      </x:c>
      <x:c r="O205" s="233" t="str">
        <x:v>DRAFT_ORDINAL_MAPPING</x:v>
      </x:c>
      <x:c r="P205" s="233" t="str">
        <x:v>VERIFIED</x:v>
      </x:c>
      <x:c r="Q205" s="235" t="str"/>
      <x:c r="R205" s="235" t="str"/>
      <x:c r="S205" s="233" t="str">
        <x:v>ILO_SCORE25</x:v>
      </x:c>
      <x:c r="T205" s="233" t="str">
        <x:v>WP140 online Annex, Table A1</x:v>
      </x:c>
      <x:c r="U205" s="235" t="str">
        <x:v>PENDING</x:v>
      </x:c>
      <x:c r="V205" s="235" t="str">
        <x:v>Codex</x:v>
      </x:c>
      <x:c r="W205" s="297" t="str">
        <x:v>KBJI–ISCO belum dipetakan; skor 0–5 adalah transformasi ordinal draft.</x:v>
      </x:c>
    </x:row>
    <x:row r="206">
      <x:c r="A206" s="293" t="str"/>
      <x:c r="B206" s="294" t="str"/>
      <x:c r="C206" s="235" t="str"/>
      <x:c r="D206" s="295" t="str">
        <x:v>2330</x:v>
      </x:c>
      <x:c r="E206" s="233" t="str">
        <x:v>Secondary Education Teachers</x:v>
      </x:c>
      <x:c r="F206" s="233" t="str">
        <x:v>UNRESOLVED</x:v>
      </x:c>
      <x:c r="G206" s="233"/>
      <x:c r="H206" s="233" t="str"/>
      <x:c r="I206" s="233"/>
      <x:c r="J206" s="233" t="str">
        <x:v>PENDING</x:v>
      </x:c>
      <x:c r="K206" s="233" t="str">
        <x:v>Not Exposed</x:v>
      </x:c>
      <x:c r="L206" s="296" t="n">
        <x:v>0.3</x:v>
      </x:c>
      <x:c r="M206" s="296" t="n">
        <x:v>0.07</x:v>
      </x:c>
      <x:c r="N206" s="233" t="n">
        <x:v>0</x:v>
      </x:c>
      <x:c r="O206" s="233" t="str">
        <x:v>DRAFT_ORDINAL_MAPPING</x:v>
      </x:c>
      <x:c r="P206" s="233" t="str">
        <x:v>VERIFIED</x:v>
      </x:c>
      <x:c r="Q206" s="235" t="str"/>
      <x:c r="R206" s="235" t="str"/>
      <x:c r="S206" s="233" t="str">
        <x:v>ILO_SCORE25</x:v>
      </x:c>
      <x:c r="T206" s="233" t="str">
        <x:v>WP140 online Annex, Table A1</x:v>
      </x:c>
      <x:c r="U206" s="235" t="str">
        <x:v>PENDING</x:v>
      </x:c>
      <x:c r="V206" s="235" t="str">
        <x:v>Codex</x:v>
      </x:c>
      <x:c r="W206" s="297" t="str">
        <x:v>KBJI–ISCO belum dipetakan; skor 0–5 adalah transformasi ordinal draft.</x:v>
      </x:c>
    </x:row>
    <x:row r="207">
      <x:c r="A207" s="293" t="str"/>
      <x:c r="B207" s="294" t="str"/>
      <x:c r="C207" s="235" t="str"/>
      <x:c r="D207" s="295" t="str">
        <x:v>2132</x:v>
      </x:c>
      <x:c r="E207" s="233" t="str">
        <x:v>Farming, Forestry and Fisheries Advisers</x:v>
      </x:c>
      <x:c r="F207" s="233" t="str">
        <x:v>UNRESOLVED</x:v>
      </x:c>
      <x:c r="G207" s="233"/>
      <x:c r="H207" s="233" t="str"/>
      <x:c r="I207" s="233"/>
      <x:c r="J207" s="233" t="str">
        <x:v>PENDING</x:v>
      </x:c>
      <x:c r="K207" s="233" t="str">
        <x:v>Not Exposed</x:v>
      </x:c>
      <x:c r="L207" s="296" t="n">
        <x:v>0.29</x:v>
      </x:c>
      <x:c r="M207" s="296" t="n">
        <x:v>0.1</x:v>
      </x:c>
      <x:c r="N207" s="233" t="n">
        <x:v>0</x:v>
      </x:c>
      <x:c r="O207" s="233" t="str">
        <x:v>DRAFT_ORDINAL_MAPPING</x:v>
      </x:c>
      <x:c r="P207" s="233" t="str">
        <x:v>VERIFIED</x:v>
      </x:c>
      <x:c r="Q207" s="235" t="str"/>
      <x:c r="R207" s="235" t="str"/>
      <x:c r="S207" s="233" t="str">
        <x:v>ILO_SCORE25</x:v>
      </x:c>
      <x:c r="T207" s="233" t="str">
        <x:v>WP140 online Annex, Table A1</x:v>
      </x:c>
      <x:c r="U207" s="235" t="str">
        <x:v>PENDING</x:v>
      </x:c>
      <x:c r="V207" s="235" t="str">
        <x:v>Codex</x:v>
      </x:c>
      <x:c r="W207" s="297" t="str">
        <x:v>KBJI–ISCO belum dipetakan; skor 0–5 adalah transformasi ordinal draft.</x:v>
      </x:c>
    </x:row>
    <x:row r="208">
      <x:c r="A208" s="293" t="str"/>
      <x:c r="B208" s="294" t="str"/>
      <x:c r="C208" s="235" t="str"/>
      <x:c r="D208" s="295" t="str">
        <x:v>2146</x:v>
      </x:c>
      <x:c r="E208" s="233" t="str">
        <x:v>Mining Engineers, Metallurgists and Related Professionals</x:v>
      </x:c>
      <x:c r="F208" s="233" t="str">
        <x:v>UNRESOLVED</x:v>
      </x:c>
      <x:c r="G208" s="233"/>
      <x:c r="H208" s="233" t="str"/>
      <x:c r="I208" s="233"/>
      <x:c r="J208" s="233" t="str">
        <x:v>PENDING</x:v>
      </x:c>
      <x:c r="K208" s="233" t="str">
        <x:v>Not Exposed</x:v>
      </x:c>
      <x:c r="L208" s="296" t="n">
        <x:v>0.29</x:v>
      </x:c>
      <x:c r="M208" s="296" t="n">
        <x:v>0.05</x:v>
      </x:c>
      <x:c r="N208" s="233" t="n">
        <x:v>0</x:v>
      </x:c>
      <x:c r="O208" s="233" t="str">
        <x:v>DRAFT_ORDINAL_MAPPING</x:v>
      </x:c>
      <x:c r="P208" s="233" t="str">
        <x:v>VERIFIED</x:v>
      </x:c>
      <x:c r="Q208" s="235" t="str"/>
      <x:c r="R208" s="235" t="str"/>
      <x:c r="S208" s="233" t="str">
        <x:v>ILO_SCORE25</x:v>
      </x:c>
      <x:c r="T208" s="233" t="str">
        <x:v>WP140 online Annex, Table A1</x:v>
      </x:c>
      <x:c r="U208" s="235" t="str">
        <x:v>PENDING</x:v>
      </x:c>
      <x:c r="V208" s="235" t="str">
        <x:v>Codex</x:v>
      </x:c>
      <x:c r="W208" s="297" t="str">
        <x:v>KBJI–ISCO belum dipetakan; skor 0–5 adalah transformasi ordinal draft.</x:v>
      </x:c>
    </x:row>
    <x:row r="209">
      <x:c r="A209" s="293" t="str"/>
      <x:c r="B209" s="294" t="str"/>
      <x:c r="C209" s="235" t="str"/>
      <x:c r="D209" s="295" t="str">
        <x:v>2211</x:v>
      </x:c>
      <x:c r="E209" s="233" t="str">
        <x:v>Generalist Medical Practitioners</x:v>
      </x:c>
      <x:c r="F209" s="233" t="str">
        <x:v>UNRESOLVED</x:v>
      </x:c>
      <x:c r="G209" s="233"/>
      <x:c r="H209" s="233" t="str"/>
      <x:c r="I209" s="233"/>
      <x:c r="J209" s="233" t="str">
        <x:v>PENDING</x:v>
      </x:c>
      <x:c r="K209" s="233" t="str">
        <x:v>Not Exposed</x:v>
      </x:c>
      <x:c r="L209" s="296" t="n">
        <x:v>0.29</x:v>
      </x:c>
      <x:c r="M209" s="296" t="n">
        <x:v>0.1</x:v>
      </x:c>
      <x:c r="N209" s="233" t="n">
        <x:v>0</x:v>
      </x:c>
      <x:c r="O209" s="233" t="str">
        <x:v>DRAFT_ORDINAL_MAPPING</x:v>
      </x:c>
      <x:c r="P209" s="233" t="str">
        <x:v>VERIFIED</x:v>
      </x:c>
      <x:c r="Q209" s="235" t="str"/>
      <x:c r="R209" s="235" t="str"/>
      <x:c r="S209" s="233" t="str">
        <x:v>ILO_SCORE25</x:v>
      </x:c>
      <x:c r="T209" s="233" t="str">
        <x:v>WP140 online Annex, Table A1</x:v>
      </x:c>
      <x:c r="U209" s="235" t="str">
        <x:v>PENDING</x:v>
      </x:c>
      <x:c r="V209" s="235" t="str">
        <x:v>Codex</x:v>
      </x:c>
      <x:c r="W209" s="297" t="str">
        <x:v>KBJI–ISCO belum dipetakan; skor 0–5 adalah transformasi ordinal draft.</x:v>
      </x:c>
    </x:row>
    <x:row r="210">
      <x:c r="A210" s="293" t="str"/>
      <x:c r="B210" s="294" t="str"/>
      <x:c r="C210" s="235" t="str"/>
      <x:c r="D210" s="295" t="str">
        <x:v>3121</x:v>
      </x:c>
      <x:c r="E210" s="233" t="str">
        <x:v>Mining Supervisors</x:v>
      </x:c>
      <x:c r="F210" s="233" t="str">
        <x:v>UNRESOLVED</x:v>
      </x:c>
      <x:c r="G210" s="233"/>
      <x:c r="H210" s="233" t="str"/>
      <x:c r="I210" s="233"/>
      <x:c r="J210" s="233" t="str">
        <x:v>PENDING</x:v>
      </x:c>
      <x:c r="K210" s="233" t="str">
        <x:v>Not Exposed</x:v>
      </x:c>
      <x:c r="L210" s="296" t="n">
        <x:v>0.29</x:v>
      </x:c>
      <x:c r="M210" s="296" t="n">
        <x:v>0.08</x:v>
      </x:c>
      <x:c r="N210" s="233" t="n">
        <x:v>0</x:v>
      </x:c>
      <x:c r="O210" s="233" t="str">
        <x:v>DRAFT_ORDINAL_MAPPING</x:v>
      </x:c>
      <x:c r="P210" s="233" t="str">
        <x:v>VERIFIED</x:v>
      </x:c>
      <x:c r="Q210" s="235" t="str"/>
      <x:c r="R210" s="235" t="str"/>
      <x:c r="S210" s="233" t="str">
        <x:v>ILO_SCORE25</x:v>
      </x:c>
      <x:c r="T210" s="233" t="str">
        <x:v>WP140 online Annex, Table A1</x:v>
      </x:c>
      <x:c r="U210" s="235" t="str">
        <x:v>PENDING</x:v>
      </x:c>
      <x:c r="V210" s="235" t="str">
        <x:v>Codex</x:v>
      </x:c>
      <x:c r="W210" s="297" t="str">
        <x:v>KBJI–ISCO belum dipetakan; skor 0–5 adalah transformasi ordinal draft.</x:v>
      </x:c>
    </x:row>
    <x:row r="211">
      <x:c r="A211" s="293" t="str"/>
      <x:c r="B211" s="294" t="str"/>
      <x:c r="C211" s="235" t="str"/>
      <x:c r="D211" s="295" t="str">
        <x:v>3133</x:v>
      </x:c>
      <x:c r="E211" s="233" t="str">
        <x:v>Chemical Processing Plant Controllers</x:v>
      </x:c>
      <x:c r="F211" s="233" t="str">
        <x:v>UNRESOLVED</x:v>
      </x:c>
      <x:c r="G211" s="233"/>
      <x:c r="H211" s="233" t="str"/>
      <x:c r="I211" s="233"/>
      <x:c r="J211" s="233" t="str">
        <x:v>PENDING</x:v>
      </x:c>
      <x:c r="K211" s="233" t="str">
        <x:v>Not Exposed</x:v>
      </x:c>
      <x:c r="L211" s="296" t="n">
        <x:v>0.29</x:v>
      </x:c>
      <x:c r="M211" s="296" t="n">
        <x:v>0.1</x:v>
      </x:c>
      <x:c r="N211" s="233" t="n">
        <x:v>0</x:v>
      </x:c>
      <x:c r="O211" s="233" t="str">
        <x:v>DRAFT_ORDINAL_MAPPING</x:v>
      </x:c>
      <x:c r="P211" s="233" t="str">
        <x:v>VERIFIED</x:v>
      </x:c>
      <x:c r="Q211" s="235" t="str"/>
      <x:c r="R211" s="235" t="str"/>
      <x:c r="S211" s="233" t="str">
        <x:v>ILO_SCORE25</x:v>
      </x:c>
      <x:c r="T211" s="233" t="str">
        <x:v>WP140 online Annex, Table A1</x:v>
      </x:c>
      <x:c r="U211" s="235" t="str">
        <x:v>PENDING</x:v>
      </x:c>
      <x:c r="V211" s="235" t="str">
        <x:v>Codex</x:v>
      </x:c>
      <x:c r="W211" s="297" t="str">
        <x:v>KBJI–ISCO belum dipetakan; skor 0–5 adalah transformasi ordinal draft.</x:v>
      </x:c>
    </x:row>
    <x:row r="212">
      <x:c r="A212" s="293" t="str"/>
      <x:c r="B212" s="294" t="str"/>
      <x:c r="C212" s="235" t="str"/>
      <x:c r="D212" s="295" t="str">
        <x:v>3134</x:v>
      </x:c>
      <x:c r="E212" s="233" t="str">
        <x:v>Petroleum and Natural Gas Refining Plant Operators</x:v>
      </x:c>
      <x:c r="F212" s="233" t="str">
        <x:v>UNRESOLVED</x:v>
      </x:c>
      <x:c r="G212" s="233"/>
      <x:c r="H212" s="233" t="str"/>
      <x:c r="I212" s="233"/>
      <x:c r="J212" s="233" t="str">
        <x:v>PENDING</x:v>
      </x:c>
      <x:c r="K212" s="233" t="str">
        <x:v>Not Exposed</x:v>
      </x:c>
      <x:c r="L212" s="296" t="n">
        <x:v>0.29</x:v>
      </x:c>
      <x:c r="M212" s="296" t="n">
        <x:v>0.11</x:v>
      </x:c>
      <x:c r="N212" s="233" t="n">
        <x:v>0</x:v>
      </x:c>
      <x:c r="O212" s="233" t="str">
        <x:v>DRAFT_ORDINAL_MAPPING</x:v>
      </x:c>
      <x:c r="P212" s="233" t="str">
        <x:v>VERIFIED</x:v>
      </x:c>
      <x:c r="Q212" s="235" t="str"/>
      <x:c r="R212" s="235" t="str"/>
      <x:c r="S212" s="233" t="str">
        <x:v>ILO_SCORE25</x:v>
      </x:c>
      <x:c r="T212" s="233" t="str">
        <x:v>WP140 online Annex, Table A1</x:v>
      </x:c>
      <x:c r="U212" s="235" t="str">
        <x:v>PENDING</x:v>
      </x:c>
      <x:c r="V212" s="235" t="str">
        <x:v>Codex</x:v>
      </x:c>
      <x:c r="W212" s="297" t="str">
        <x:v>KBJI–ISCO belum dipetakan; skor 0–5 adalah transformasi ordinal draft.</x:v>
      </x:c>
    </x:row>
    <x:row r="213">
      <x:c r="A213" s="293" t="str"/>
      <x:c r="B213" s="294" t="str"/>
      <x:c r="C213" s="235" t="str"/>
      <x:c r="D213" s="295" t="str">
        <x:v>3152</x:v>
      </x:c>
      <x:c r="E213" s="233" t="str">
        <x:v>Ships' Deck Officers and Pilots</x:v>
      </x:c>
      <x:c r="F213" s="233" t="str">
        <x:v>UNRESOLVED</x:v>
      </x:c>
      <x:c r="G213" s="233"/>
      <x:c r="H213" s="233" t="str"/>
      <x:c r="I213" s="233"/>
      <x:c r="J213" s="233" t="str">
        <x:v>PENDING</x:v>
      </x:c>
      <x:c r="K213" s="233" t="str">
        <x:v>Not Exposed</x:v>
      </x:c>
      <x:c r="L213" s="296" t="n">
        <x:v>0.29</x:v>
      </x:c>
      <x:c r="M213" s="296" t="n">
        <x:v>0.11</x:v>
      </x:c>
      <x:c r="N213" s="233" t="n">
        <x:v>0</x:v>
      </x:c>
      <x:c r="O213" s="233" t="str">
        <x:v>DRAFT_ORDINAL_MAPPING</x:v>
      </x:c>
      <x:c r="P213" s="233" t="str">
        <x:v>VERIFIED</x:v>
      </x:c>
      <x:c r="Q213" s="235" t="str"/>
      <x:c r="R213" s="235" t="str"/>
      <x:c r="S213" s="233" t="str">
        <x:v>ILO_SCORE25</x:v>
      </x:c>
      <x:c r="T213" s="233" t="str">
        <x:v>WP140 online Annex, Table A1</x:v>
      </x:c>
      <x:c r="U213" s="235" t="str">
        <x:v>PENDING</x:v>
      </x:c>
      <x:c r="V213" s="235" t="str">
        <x:v>Codex</x:v>
      </x:c>
      <x:c r="W213" s="297" t="str">
        <x:v>KBJI–ISCO belum dipetakan; skor 0–5 adalah transformasi ordinal draft.</x:v>
      </x:c>
    </x:row>
    <x:row r="214">
      <x:c r="A214" s="293" t="str"/>
      <x:c r="B214" s="294" t="str"/>
      <x:c r="C214" s="235" t="str"/>
      <x:c r="D214" s="295" t="str">
        <x:v>2263</x:v>
      </x:c>
      <x:c r="E214" s="233" t="str">
        <x:v>Environmental and Occupational Health and Hygiene Professionals</x:v>
      </x:c>
      <x:c r="F214" s="233" t="str">
        <x:v>UNRESOLVED</x:v>
      </x:c>
      <x:c r="G214" s="233"/>
      <x:c r="H214" s="233" t="str"/>
      <x:c r="I214" s="233"/>
      <x:c r="J214" s="233" t="str">
        <x:v>PENDING</x:v>
      </x:c>
      <x:c r="K214" s="233" t="str">
        <x:v>Not Exposed</x:v>
      </x:c>
      <x:c r="L214" s="296" t="n">
        <x:v>0.28</x:v>
      </x:c>
      <x:c r="M214" s="296" t="n">
        <x:v>0.05</x:v>
      </x:c>
      <x:c r="N214" s="233" t="n">
        <x:v>0</x:v>
      </x:c>
      <x:c r="O214" s="233" t="str">
        <x:v>DRAFT_ORDINAL_MAPPING</x:v>
      </x:c>
      <x:c r="P214" s="233" t="str">
        <x:v>VERIFIED</x:v>
      </x:c>
      <x:c r="Q214" s="235" t="str"/>
      <x:c r="R214" s="235" t="str"/>
      <x:c r="S214" s="233" t="str">
        <x:v>ILO_SCORE25</x:v>
      </x:c>
      <x:c r="T214" s="233" t="str">
        <x:v>WP140 online Annex, Table A1</x:v>
      </x:c>
      <x:c r="U214" s="235" t="str">
        <x:v>PENDING</x:v>
      </x:c>
      <x:c r="V214" s="235" t="str">
        <x:v>Codex</x:v>
      </x:c>
      <x:c r="W214" s="297" t="str">
        <x:v>KBJI–ISCO belum dipetakan; skor 0–5 adalah transformasi ordinal draft.</x:v>
      </x:c>
    </x:row>
    <x:row r="215">
      <x:c r="A215" s="293" t="str"/>
      <x:c r="B215" s="294" t="str"/>
      <x:c r="C215" s="235" t="str"/>
      <x:c r="D215" s="295" t="str">
        <x:v>2352</x:v>
      </x:c>
      <x:c r="E215" s="233" t="str">
        <x:v>Special Needs Teachers</x:v>
      </x:c>
      <x:c r="F215" s="233" t="str">
        <x:v>UNRESOLVED</x:v>
      </x:c>
      <x:c r="G215" s="233"/>
      <x:c r="H215" s="233" t="str"/>
      <x:c r="I215" s="233"/>
      <x:c r="J215" s="233" t="str">
        <x:v>PENDING</x:v>
      </x:c>
      <x:c r="K215" s="233" t="str">
        <x:v>Not Exposed</x:v>
      </x:c>
      <x:c r="L215" s="296" t="n">
        <x:v>0.28</x:v>
      </x:c>
      <x:c r="M215" s="296" t="n">
        <x:v>0.1</x:v>
      </x:c>
      <x:c r="N215" s="233" t="n">
        <x:v>0</x:v>
      </x:c>
      <x:c r="O215" s="233" t="str">
        <x:v>DRAFT_ORDINAL_MAPPING</x:v>
      </x:c>
      <x:c r="P215" s="233" t="str">
        <x:v>VERIFIED</x:v>
      </x:c>
      <x:c r="Q215" s="235" t="str"/>
      <x:c r="R215" s="235" t="str"/>
      <x:c r="S215" s="233" t="str">
        <x:v>ILO_SCORE25</x:v>
      </x:c>
      <x:c r="T215" s="233" t="str">
        <x:v>WP140 online Annex, Table A1</x:v>
      </x:c>
      <x:c r="U215" s="235" t="str">
        <x:v>PENDING</x:v>
      </x:c>
      <x:c r="V215" s="235" t="str">
        <x:v>Codex</x:v>
      </x:c>
      <x:c r="W215" s="297" t="str">
        <x:v>KBJI–ISCO belum dipetakan; skor 0–5 adalah transformasi ordinal draft.</x:v>
      </x:c>
    </x:row>
    <x:row r="216">
      <x:c r="A216" s="293" t="str"/>
      <x:c r="B216" s="294" t="str"/>
      <x:c r="C216" s="235" t="str"/>
      <x:c r="D216" s="295" t="str">
        <x:v>2635</x:v>
      </x:c>
      <x:c r="E216" s="233" t="str">
        <x:v>Social Work and Counselling Professionals</x:v>
      </x:c>
      <x:c r="F216" s="233" t="str">
        <x:v>UNRESOLVED</x:v>
      </x:c>
      <x:c r="G216" s="233"/>
      <x:c r="H216" s="233" t="str"/>
      <x:c r="I216" s="233"/>
      <x:c r="J216" s="233" t="str">
        <x:v>PENDING</x:v>
      </x:c>
      <x:c r="K216" s="233" t="str">
        <x:v>Not Exposed</x:v>
      </x:c>
      <x:c r="L216" s="296" t="n">
        <x:v>0.28</x:v>
      </x:c>
      <x:c r="M216" s="296" t="n">
        <x:v>0.1</x:v>
      </x:c>
      <x:c r="N216" s="233" t="n">
        <x:v>0</x:v>
      </x:c>
      <x:c r="O216" s="233" t="str">
        <x:v>DRAFT_ORDINAL_MAPPING</x:v>
      </x:c>
      <x:c r="P216" s="233" t="str">
        <x:v>VERIFIED</x:v>
      </x:c>
      <x:c r="Q216" s="235" t="str"/>
      <x:c r="R216" s="235" t="str"/>
      <x:c r="S216" s="233" t="str">
        <x:v>ILO_SCORE25</x:v>
      </x:c>
      <x:c r="T216" s="233" t="str">
        <x:v>WP140 online Annex, Table A1</x:v>
      </x:c>
      <x:c r="U216" s="235" t="str">
        <x:v>PENDING</x:v>
      </x:c>
      <x:c r="V216" s="235" t="str">
        <x:v>Codex</x:v>
      </x:c>
      <x:c r="W216" s="297" t="str">
        <x:v>KBJI–ISCO belum dipetakan; skor 0–5 adalah transformasi ordinal draft.</x:v>
      </x:c>
    </x:row>
    <x:row r="217">
      <x:c r="A217" s="293" t="str"/>
      <x:c r="B217" s="294" t="str"/>
      <x:c r="C217" s="235" t="str"/>
      <x:c r="D217" s="295" t="str">
        <x:v>2652</x:v>
      </x:c>
      <x:c r="E217" s="233" t="str">
        <x:v>Musicians, Singers and Composers</x:v>
      </x:c>
      <x:c r="F217" s="233" t="str">
        <x:v>UNRESOLVED</x:v>
      </x:c>
      <x:c r="G217" s="233"/>
      <x:c r="H217" s="233" t="str"/>
      <x:c r="I217" s="233"/>
      <x:c r="J217" s="233" t="str">
        <x:v>PENDING</x:v>
      </x:c>
      <x:c r="K217" s="233" t="str">
        <x:v>Not Exposed</x:v>
      </x:c>
      <x:c r="L217" s="296" t="n">
        <x:v>0.28</x:v>
      </x:c>
      <x:c r="M217" s="296" t="n">
        <x:v>0.09</x:v>
      </x:c>
      <x:c r="N217" s="233" t="n">
        <x:v>0</x:v>
      </x:c>
      <x:c r="O217" s="233" t="str">
        <x:v>DRAFT_ORDINAL_MAPPING</x:v>
      </x:c>
      <x:c r="P217" s="233" t="str">
        <x:v>VERIFIED</x:v>
      </x:c>
      <x:c r="Q217" s="235" t="str"/>
      <x:c r="R217" s="235" t="str"/>
      <x:c r="S217" s="233" t="str">
        <x:v>ILO_SCORE25</x:v>
      </x:c>
      <x:c r="T217" s="233" t="str">
        <x:v>WP140 online Annex, Table A1</x:v>
      </x:c>
      <x:c r="U217" s="235" t="str">
        <x:v>PENDING</x:v>
      </x:c>
      <x:c r="V217" s="235" t="str">
        <x:v>Codex</x:v>
      </x:c>
      <x:c r="W217" s="297" t="str">
        <x:v>KBJI–ISCO belum dipetakan; skor 0–5 adalah transformasi ordinal draft.</x:v>
      </x:c>
    </x:row>
    <x:row r="218">
      <x:c r="A218" s="293" t="str"/>
      <x:c r="B218" s="294" t="str"/>
      <x:c r="C218" s="235" t="str"/>
      <x:c r="D218" s="295" t="str">
        <x:v>3112</x:v>
      </x:c>
      <x:c r="E218" s="233" t="str">
        <x:v>Civil Engineering Technicians</x:v>
      </x:c>
      <x:c r="F218" s="233" t="str">
        <x:v>UNRESOLVED</x:v>
      </x:c>
      <x:c r="G218" s="233"/>
      <x:c r="H218" s="233" t="str"/>
      <x:c r="I218" s="233"/>
      <x:c r="J218" s="233" t="str">
        <x:v>PENDING</x:v>
      </x:c>
      <x:c r="K218" s="233" t="str">
        <x:v>Not Exposed</x:v>
      </x:c>
      <x:c r="L218" s="296" t="n">
        <x:v>0.28</x:v>
      </x:c>
      <x:c r="M218" s="296" t="n">
        <x:v>0.07</x:v>
      </x:c>
      <x:c r="N218" s="233" t="n">
        <x:v>0</x:v>
      </x:c>
      <x:c r="O218" s="233" t="str">
        <x:v>DRAFT_ORDINAL_MAPPING</x:v>
      </x:c>
      <x:c r="P218" s="233" t="str">
        <x:v>VERIFIED</x:v>
      </x:c>
      <x:c r="Q218" s="235" t="str"/>
      <x:c r="R218" s="235" t="str"/>
      <x:c r="S218" s="233" t="str">
        <x:v>ILO_SCORE25</x:v>
      </x:c>
      <x:c r="T218" s="233" t="str">
        <x:v>WP140 online Annex, Table A1</x:v>
      </x:c>
      <x:c r="U218" s="235" t="str">
        <x:v>PENDING</x:v>
      </x:c>
      <x:c r="V218" s="235" t="str">
        <x:v>Codex</x:v>
      </x:c>
      <x:c r="W218" s="297" t="str">
        <x:v>KBJI–ISCO belum dipetakan; skor 0–5 adalah transformasi ordinal draft.</x:v>
      </x:c>
    </x:row>
    <x:row r="219">
      <x:c r="A219" s="293" t="str"/>
      <x:c r="B219" s="294" t="str"/>
      <x:c r="C219" s="235" t="str"/>
      <x:c r="D219" s="295" t="str">
        <x:v>3117</x:v>
      </x:c>
      <x:c r="E219" s="233" t="str">
        <x:v>Mining and metallurgical technicians</x:v>
      </x:c>
      <x:c r="F219" s="233" t="str">
        <x:v>UNRESOLVED</x:v>
      </x:c>
      <x:c r="G219" s="233"/>
      <x:c r="H219" s="233" t="str"/>
      <x:c r="I219" s="233"/>
      <x:c r="J219" s="233" t="str">
        <x:v>PENDING</x:v>
      </x:c>
      <x:c r="K219" s="233" t="str">
        <x:v>Not Exposed</x:v>
      </x:c>
      <x:c r="L219" s="296" t="n">
        <x:v>0.28</x:v>
      </x:c>
      <x:c r="M219" s="296" t="n">
        <x:v>0.06</x:v>
      </x:c>
      <x:c r="N219" s="233" t="n">
        <x:v>0</x:v>
      </x:c>
      <x:c r="O219" s="233" t="str">
        <x:v>DRAFT_ORDINAL_MAPPING</x:v>
      </x:c>
      <x:c r="P219" s="233" t="str">
        <x:v>VERIFIED</x:v>
      </x:c>
      <x:c r="Q219" s="235" t="str"/>
      <x:c r="R219" s="235" t="str"/>
      <x:c r="S219" s="233" t="str">
        <x:v>ILO_SCORE25</x:v>
      </x:c>
      <x:c r="T219" s="233" t="str">
        <x:v>WP140 online Annex, Table A1</x:v>
      </x:c>
      <x:c r="U219" s="235" t="str">
        <x:v>PENDING</x:v>
      </x:c>
      <x:c r="V219" s="235" t="str">
        <x:v>Codex</x:v>
      </x:c>
      <x:c r="W219" s="297" t="str">
        <x:v>KBJI–ISCO belum dipetakan; skor 0–5 adalah transformasi ordinal draft.</x:v>
      </x:c>
    </x:row>
    <x:row r="220">
      <x:c r="A220" s="293" t="str"/>
      <x:c r="B220" s="294" t="str"/>
      <x:c r="C220" s="235" t="str"/>
      <x:c r="D220" s="295" t="str">
        <x:v>3123</x:v>
      </x:c>
      <x:c r="E220" s="233" t="str">
        <x:v>Construction Supervisors</x:v>
      </x:c>
      <x:c r="F220" s="233" t="str">
        <x:v>UNRESOLVED</x:v>
      </x:c>
      <x:c r="G220" s="233"/>
      <x:c r="H220" s="233" t="str"/>
      <x:c r="I220" s="233"/>
      <x:c r="J220" s="233" t="str">
        <x:v>PENDING</x:v>
      </x:c>
      <x:c r="K220" s="233" t="str">
        <x:v>Not Exposed</x:v>
      </x:c>
      <x:c r="L220" s="296" t="n">
        <x:v>0.28</x:v>
      </x:c>
      <x:c r="M220" s="296" t="n">
        <x:v>0.06</x:v>
      </x:c>
      <x:c r="N220" s="233" t="n">
        <x:v>0</x:v>
      </x:c>
      <x:c r="O220" s="233" t="str">
        <x:v>DRAFT_ORDINAL_MAPPING</x:v>
      </x:c>
      <x:c r="P220" s="233" t="str">
        <x:v>VERIFIED</x:v>
      </x:c>
      <x:c r="Q220" s="235" t="str"/>
      <x:c r="R220" s="235" t="str"/>
      <x:c r="S220" s="233" t="str">
        <x:v>ILO_SCORE25</x:v>
      </x:c>
      <x:c r="T220" s="233" t="str">
        <x:v>WP140 online Annex, Table A1</x:v>
      </x:c>
      <x:c r="U220" s="235" t="str">
        <x:v>PENDING</x:v>
      </x:c>
      <x:c r="V220" s="235" t="str">
        <x:v>Codex</x:v>
      </x:c>
      <x:c r="W220" s="297" t="str">
        <x:v>KBJI–ISCO belum dipetakan; skor 0–5 adalah transformasi ordinal draft.</x:v>
      </x:c>
    </x:row>
    <x:row r="221">
      <x:c r="A221" s="293" t="str"/>
      <x:c r="B221" s="294" t="str"/>
      <x:c r="C221" s="235" t="str"/>
      <x:c r="D221" s="295" t="str">
        <x:v>3131</x:v>
      </x:c>
      <x:c r="E221" s="233" t="str">
        <x:v>Power Production Plant Operators</x:v>
      </x:c>
      <x:c r="F221" s="233" t="str">
        <x:v>UNRESOLVED</x:v>
      </x:c>
      <x:c r="G221" s="233"/>
      <x:c r="H221" s="233" t="str"/>
      <x:c r="I221" s="233"/>
      <x:c r="J221" s="233" t="str">
        <x:v>PENDING</x:v>
      </x:c>
      <x:c r="K221" s="233" t="str">
        <x:v>Not Exposed</x:v>
      </x:c>
      <x:c r="L221" s="296" t="n">
        <x:v>0.28</x:v>
      </x:c>
      <x:c r="M221" s="296" t="n">
        <x:v>0.11</x:v>
      </x:c>
      <x:c r="N221" s="233" t="n">
        <x:v>0</x:v>
      </x:c>
      <x:c r="O221" s="233" t="str">
        <x:v>DRAFT_ORDINAL_MAPPING</x:v>
      </x:c>
      <x:c r="P221" s="233" t="str">
        <x:v>VERIFIED</x:v>
      </x:c>
      <x:c r="Q221" s="235" t="str"/>
      <x:c r="R221" s="235" t="str"/>
      <x:c r="S221" s="233" t="str">
        <x:v>ILO_SCORE25</x:v>
      </x:c>
      <x:c r="T221" s="233" t="str">
        <x:v>WP140 online Annex, Table A1</x:v>
      </x:c>
      <x:c r="U221" s="235" t="str">
        <x:v>PENDING</x:v>
      </x:c>
      <x:c r="V221" s="235" t="str">
        <x:v>Codex</x:v>
      </x:c>
      <x:c r="W221" s="297" t="str">
        <x:v>KBJI–ISCO belum dipetakan; skor 0–5 adalah transformasi ordinal draft.</x:v>
      </x:c>
    </x:row>
    <x:row r="222">
      <x:c r="A222" s="293" t="str"/>
      <x:c r="B222" s="294" t="str"/>
      <x:c r="C222" s="235" t="str"/>
      <x:c r="D222" s="295" t="str">
        <x:v>2212</x:v>
      </x:c>
      <x:c r="E222" s="233" t="str">
        <x:v>Specialist Medical Practitioners</x:v>
      </x:c>
      <x:c r="F222" s="233" t="str">
        <x:v>UNRESOLVED</x:v>
      </x:c>
      <x:c r="G222" s="233"/>
      <x:c r="H222" s="233" t="str"/>
      <x:c r="I222" s="233"/>
      <x:c r="J222" s="233" t="str">
        <x:v>PENDING</x:v>
      </x:c>
      <x:c r="K222" s="233" t="str">
        <x:v>Not Exposed</x:v>
      </x:c>
      <x:c r="L222" s="296" t="n">
        <x:v>0.27</x:v>
      </x:c>
      <x:c r="M222" s="296" t="n">
        <x:v>0.12</x:v>
      </x:c>
      <x:c r="N222" s="233" t="n">
        <x:v>0</x:v>
      </x:c>
      <x:c r="O222" s="233" t="str">
        <x:v>DRAFT_ORDINAL_MAPPING</x:v>
      </x:c>
      <x:c r="P222" s="233" t="str">
        <x:v>VERIFIED</x:v>
      </x:c>
      <x:c r="Q222" s="235" t="str"/>
      <x:c r="R222" s="235" t="str"/>
      <x:c r="S222" s="233" t="str">
        <x:v>ILO_SCORE25</x:v>
      </x:c>
      <x:c r="T222" s="233" t="str">
        <x:v>WP140 online Annex, Table A1</x:v>
      </x:c>
      <x:c r="U222" s="235" t="str">
        <x:v>PENDING</x:v>
      </x:c>
      <x:c r="V222" s="235" t="str">
        <x:v>Codex</x:v>
      </x:c>
      <x:c r="W222" s="297" t="str">
        <x:v>KBJI–ISCO belum dipetakan; skor 0–5 adalah transformasi ordinal draft.</x:v>
      </x:c>
    </x:row>
    <x:row r="223">
      <x:c r="A223" s="293" t="str"/>
      <x:c r="B223" s="294" t="str"/>
      <x:c r="C223" s="235" t="str"/>
      <x:c r="D223" s="295" t="str">
        <x:v>3113</x:v>
      </x:c>
      <x:c r="E223" s="233" t="str">
        <x:v>Electrical Engineering Technicians</x:v>
      </x:c>
      <x:c r="F223" s="233" t="str">
        <x:v>UNRESOLVED</x:v>
      </x:c>
      <x:c r="G223" s="233"/>
      <x:c r="H223" s="233" t="str"/>
      <x:c r="I223" s="233"/>
      <x:c r="J223" s="233" t="str">
        <x:v>PENDING</x:v>
      </x:c>
      <x:c r="K223" s="233" t="str">
        <x:v>Not Exposed</x:v>
      </x:c>
      <x:c r="L223" s="296" t="n">
        <x:v>0.27</x:v>
      </x:c>
      <x:c r="M223" s="296" t="n">
        <x:v>0.05</x:v>
      </x:c>
      <x:c r="N223" s="233" t="n">
        <x:v>0</x:v>
      </x:c>
      <x:c r="O223" s="233" t="str">
        <x:v>DRAFT_ORDINAL_MAPPING</x:v>
      </x:c>
      <x:c r="P223" s="233" t="str">
        <x:v>VERIFIED</x:v>
      </x:c>
      <x:c r="Q223" s="235" t="str"/>
      <x:c r="R223" s="235" t="str"/>
      <x:c r="S223" s="233" t="str">
        <x:v>ILO_SCORE25</x:v>
      </x:c>
      <x:c r="T223" s="233" t="str">
        <x:v>WP140 online Annex, Table A1</x:v>
      </x:c>
      <x:c r="U223" s="235" t="str">
        <x:v>PENDING</x:v>
      </x:c>
      <x:c r="V223" s="235" t="str">
        <x:v>Codex</x:v>
      </x:c>
      <x:c r="W223" s="297" t="str">
        <x:v>KBJI–ISCO belum dipetakan; skor 0–5 adalah transformasi ordinal draft.</x:v>
      </x:c>
    </x:row>
    <x:row r="224">
      <x:c r="A224" s="293" t="str"/>
      <x:c r="B224" s="294" t="str"/>
      <x:c r="C224" s="235" t="str"/>
      <x:c r="D224" s="295" t="str">
        <x:v>3132</x:v>
      </x:c>
      <x:c r="E224" s="233" t="str">
        <x:v>Incinerator and Water Treatment Plant Operators</x:v>
      </x:c>
      <x:c r="F224" s="233" t="str">
        <x:v>UNRESOLVED</x:v>
      </x:c>
      <x:c r="G224" s="233"/>
      <x:c r="H224" s="233" t="str"/>
      <x:c r="I224" s="233"/>
      <x:c r="J224" s="233" t="str">
        <x:v>PENDING</x:v>
      </x:c>
      <x:c r="K224" s="233" t="str">
        <x:v>Not Exposed</x:v>
      </x:c>
      <x:c r="L224" s="296" t="n">
        <x:v>0.27</x:v>
      </x:c>
      <x:c r="M224" s="296" t="n">
        <x:v>0.09</x:v>
      </x:c>
      <x:c r="N224" s="233" t="n">
        <x:v>0</x:v>
      </x:c>
      <x:c r="O224" s="233" t="str">
        <x:v>DRAFT_ORDINAL_MAPPING</x:v>
      </x:c>
      <x:c r="P224" s="233" t="str">
        <x:v>VERIFIED</x:v>
      </x:c>
      <x:c r="Q224" s="235" t="str"/>
      <x:c r="R224" s="235" t="str"/>
      <x:c r="S224" s="233" t="str">
        <x:v>ILO_SCORE25</x:v>
      </x:c>
      <x:c r="T224" s="233" t="str">
        <x:v>WP140 online Annex, Table A1</x:v>
      </x:c>
      <x:c r="U224" s="235" t="str">
        <x:v>PENDING</x:v>
      </x:c>
      <x:c r="V224" s="235" t="str">
        <x:v>Codex</x:v>
      </x:c>
      <x:c r="W224" s="297" t="str">
        <x:v>KBJI–ISCO belum dipetakan; skor 0–5 adalah transformasi ordinal draft.</x:v>
      </x:c>
    </x:row>
    <x:row r="225">
      <x:c r="A225" s="293" t="str"/>
      <x:c r="B225" s="294" t="str"/>
      <x:c r="C225" s="235" t="str"/>
      <x:c r="D225" s="295" t="str">
        <x:v>3153</x:v>
      </x:c>
      <x:c r="E225" s="233" t="str">
        <x:v>Aircraft Pilots and Related Associate Professionals</x:v>
      </x:c>
      <x:c r="F225" s="233" t="str">
        <x:v>UNRESOLVED</x:v>
      </x:c>
      <x:c r="G225" s="233"/>
      <x:c r="H225" s="233" t="str"/>
      <x:c r="I225" s="233"/>
      <x:c r="J225" s="233" t="str">
        <x:v>PENDING</x:v>
      </x:c>
      <x:c r="K225" s="233" t="str">
        <x:v>Not Exposed</x:v>
      </x:c>
      <x:c r="L225" s="296" t="n">
        <x:v>0.27</x:v>
      </x:c>
      <x:c r="M225" s="296" t="n">
        <x:v>0.05</x:v>
      </x:c>
      <x:c r="N225" s="233" t="n">
        <x:v>0</x:v>
      </x:c>
      <x:c r="O225" s="233" t="str">
        <x:v>DRAFT_ORDINAL_MAPPING</x:v>
      </x:c>
      <x:c r="P225" s="233" t="str">
        <x:v>VERIFIED</x:v>
      </x:c>
      <x:c r="Q225" s="235" t="str"/>
      <x:c r="R225" s="235" t="str"/>
      <x:c r="S225" s="233" t="str">
        <x:v>ILO_SCORE25</x:v>
      </x:c>
      <x:c r="T225" s="233" t="str">
        <x:v>WP140 online Annex, Table A1</x:v>
      </x:c>
      <x:c r="U225" s="235" t="str">
        <x:v>PENDING</x:v>
      </x:c>
      <x:c r="V225" s="235" t="str">
        <x:v>Codex</x:v>
      </x:c>
      <x:c r="W225" s="297" t="str">
        <x:v>KBJI–ISCO belum dipetakan; skor 0–5 adalah transformasi ordinal draft.</x:v>
      </x:c>
    </x:row>
    <x:row r="226">
      <x:c r="A226" s="293" t="str"/>
      <x:c r="B226" s="294" t="str"/>
      <x:c r="C226" s="235" t="str"/>
      <x:c r="D226" s="295" t="str">
        <x:v>8132</x:v>
      </x:c>
      <x:c r="E226" s="233" t="str">
        <x:v>Photographic Products Machine Operators</x:v>
      </x:c>
      <x:c r="F226" s="233" t="str">
        <x:v>UNRESOLVED</x:v>
      </x:c>
      <x:c r="G226" s="233"/>
      <x:c r="H226" s="233" t="str"/>
      <x:c r="I226" s="233"/>
      <x:c r="J226" s="233" t="str">
        <x:v>PENDING</x:v>
      </x:c>
      <x:c r="K226" s="233" t="str">
        <x:v>Not Exposed</x:v>
      </x:c>
      <x:c r="L226" s="296" t="n">
        <x:v>0.27</x:v>
      </x:c>
      <x:c r="M226" s="296" t="n">
        <x:v>0.06</x:v>
      </x:c>
      <x:c r="N226" s="233" t="n">
        <x:v>0</x:v>
      </x:c>
      <x:c r="O226" s="233" t="str">
        <x:v>DRAFT_ORDINAL_MAPPING</x:v>
      </x:c>
      <x:c r="P226" s="233" t="str">
        <x:v>VERIFIED</x:v>
      </x:c>
      <x:c r="Q226" s="235" t="str"/>
      <x:c r="R226" s="235" t="str"/>
      <x:c r="S226" s="233" t="str">
        <x:v>ILO_SCORE25</x:v>
      </x:c>
      <x:c r="T226" s="233" t="str">
        <x:v>WP140 online Annex, Table A1</x:v>
      </x:c>
      <x:c r="U226" s="235" t="str">
        <x:v>PENDING</x:v>
      </x:c>
      <x:c r="V226" s="235" t="str">
        <x:v>Codex</x:v>
      </x:c>
      <x:c r="W226" s="297" t="str">
        <x:v>KBJI–ISCO belum dipetakan; skor 0–5 adalah transformasi ordinal draft.</x:v>
      </x:c>
    </x:row>
    <x:row r="227">
      <x:c r="A227" s="293" t="str"/>
      <x:c r="B227" s="294" t="str"/>
      <x:c r="C227" s="235" t="str"/>
      <x:c r="D227" s="295" t="str">
        <x:v>2341</x:v>
      </x:c>
      <x:c r="E227" s="233" t="str">
        <x:v>Primary School Teachers</x:v>
      </x:c>
      <x:c r="F227" s="233" t="str">
        <x:v>UNRESOLVED</x:v>
      </x:c>
      <x:c r="G227" s="233"/>
      <x:c r="H227" s="233" t="str"/>
      <x:c r="I227" s="233"/>
      <x:c r="J227" s="233" t="str">
        <x:v>PENDING</x:v>
      </x:c>
      <x:c r="K227" s="233" t="str">
        <x:v>Not Exposed</x:v>
      </x:c>
      <x:c r="L227" s="296" t="n">
        <x:v>0.26</x:v>
      </x:c>
      <x:c r="M227" s="296" t="n">
        <x:v>0.09</x:v>
      </x:c>
      <x:c r="N227" s="233" t="n">
        <x:v>0</x:v>
      </x:c>
      <x:c r="O227" s="233" t="str">
        <x:v>DRAFT_ORDINAL_MAPPING</x:v>
      </x:c>
      <x:c r="P227" s="233" t="str">
        <x:v>VERIFIED</x:v>
      </x:c>
      <x:c r="Q227" s="235" t="str"/>
      <x:c r="R227" s="235" t="str"/>
      <x:c r="S227" s="233" t="str">
        <x:v>ILO_SCORE25</x:v>
      </x:c>
      <x:c r="T227" s="233" t="str">
        <x:v>WP140 online Annex, Table A1</x:v>
      </x:c>
      <x:c r="U227" s="235" t="str">
        <x:v>PENDING</x:v>
      </x:c>
      <x:c r="V227" s="235" t="str">
        <x:v>Codex</x:v>
      </x:c>
      <x:c r="W227" s="297" t="str">
        <x:v>KBJI–ISCO belum dipetakan; skor 0–5 adalah transformasi ordinal draft.</x:v>
      </x:c>
    </x:row>
    <x:row r="228">
      <x:c r="A228" s="293" t="str"/>
      <x:c r="B228" s="294" t="str"/>
      <x:c r="C228" s="235" t="str"/>
      <x:c r="D228" s="295" t="str">
        <x:v>3111</x:v>
      </x:c>
      <x:c r="E228" s="233" t="str">
        <x:v>Chemical and Physical Science Technicians</x:v>
      </x:c>
      <x:c r="F228" s="233" t="str">
        <x:v>UNRESOLVED</x:v>
      </x:c>
      <x:c r="G228" s="233"/>
      <x:c r="H228" s="233" t="str"/>
      <x:c r="I228" s="233"/>
      <x:c r="J228" s="233" t="str">
        <x:v>PENDING</x:v>
      </x:c>
      <x:c r="K228" s="233" t="str">
        <x:v>Not Exposed</x:v>
      </x:c>
      <x:c r="L228" s="296" t="n">
        <x:v>0.26</x:v>
      </x:c>
      <x:c r="M228" s="296" t="n">
        <x:v>0.09</x:v>
      </x:c>
      <x:c r="N228" s="233" t="n">
        <x:v>0</x:v>
      </x:c>
      <x:c r="O228" s="233" t="str">
        <x:v>DRAFT_ORDINAL_MAPPING</x:v>
      </x:c>
      <x:c r="P228" s="233" t="str">
        <x:v>VERIFIED</x:v>
      </x:c>
      <x:c r="Q228" s="235" t="str"/>
      <x:c r="R228" s="235" t="str"/>
      <x:c r="S228" s="233" t="str">
        <x:v>ILO_SCORE25</x:v>
      </x:c>
      <x:c r="T228" s="233" t="str">
        <x:v>WP140 online Annex, Table A1</x:v>
      </x:c>
      <x:c r="U228" s="235" t="str">
        <x:v>PENDING</x:v>
      </x:c>
      <x:c r="V228" s="235" t="str">
        <x:v>Codex</x:v>
      </x:c>
      <x:c r="W228" s="297" t="str">
        <x:v>KBJI–ISCO belum dipetakan; skor 0–5 adalah transformasi ordinal draft.</x:v>
      </x:c>
    </x:row>
    <x:row r="229">
      <x:c r="A229" s="293" t="str"/>
      <x:c r="B229" s="294" t="str"/>
      <x:c r="C229" s="235" t="str"/>
      <x:c r="D229" s="295" t="str">
        <x:v>3115</x:v>
      </x:c>
      <x:c r="E229" s="233" t="str">
        <x:v>Mechanical Engineering Technicians</x:v>
      </x:c>
      <x:c r="F229" s="233" t="str">
        <x:v>UNRESOLVED</x:v>
      </x:c>
      <x:c r="G229" s="233"/>
      <x:c r="H229" s="233" t="str"/>
      <x:c r="I229" s="233"/>
      <x:c r="J229" s="233" t="str">
        <x:v>PENDING</x:v>
      </x:c>
      <x:c r="K229" s="233" t="str">
        <x:v>Not Exposed</x:v>
      </x:c>
      <x:c r="L229" s="296" t="n">
        <x:v>0.26</x:v>
      </x:c>
      <x:c r="M229" s="296" t="n">
        <x:v>0.08</x:v>
      </x:c>
      <x:c r="N229" s="233" t="n">
        <x:v>0</x:v>
      </x:c>
      <x:c r="O229" s="233" t="str">
        <x:v>DRAFT_ORDINAL_MAPPING</x:v>
      </x:c>
      <x:c r="P229" s="233" t="str">
        <x:v>VERIFIED</x:v>
      </x:c>
      <x:c r="Q229" s="235" t="str"/>
      <x:c r="R229" s="235" t="str"/>
      <x:c r="S229" s="233" t="str">
        <x:v>ILO_SCORE25</x:v>
      </x:c>
      <x:c r="T229" s="233" t="str">
        <x:v>WP140 online Annex, Table A1</x:v>
      </x:c>
      <x:c r="U229" s="235" t="str">
        <x:v>PENDING</x:v>
      </x:c>
      <x:c r="V229" s="235" t="str">
        <x:v>Codex</x:v>
      </x:c>
      <x:c r="W229" s="297" t="str">
        <x:v>KBJI–ISCO belum dipetakan; skor 0–5 adalah transformasi ordinal draft.</x:v>
      </x:c>
    </x:row>
    <x:row r="230">
      <x:c r="A230" s="293" t="str"/>
      <x:c r="B230" s="294" t="str"/>
      <x:c r="C230" s="235" t="str"/>
      <x:c r="D230" s="295" t="str">
        <x:v>3119</x:v>
      </x:c>
      <x:c r="E230" s="233" t="str">
        <x:v>Physical and Engineering Science Technicians Not Elsewhere Classified</x:v>
      </x:c>
      <x:c r="F230" s="233" t="str">
        <x:v>UNRESOLVED</x:v>
      </x:c>
      <x:c r="G230" s="233"/>
      <x:c r="H230" s="233" t="str"/>
      <x:c r="I230" s="233"/>
      <x:c r="J230" s="233" t="str">
        <x:v>PENDING</x:v>
      </x:c>
      <x:c r="K230" s="233" t="str">
        <x:v>Not Exposed</x:v>
      </x:c>
      <x:c r="L230" s="296" t="n">
        <x:v>0.26</x:v>
      </x:c>
      <x:c r="M230" s="296" t="n">
        <x:v>0.05</x:v>
      </x:c>
      <x:c r="N230" s="233" t="n">
        <x:v>0</x:v>
      </x:c>
      <x:c r="O230" s="233" t="str">
        <x:v>DRAFT_ORDINAL_MAPPING</x:v>
      </x:c>
      <x:c r="P230" s="233" t="str">
        <x:v>VERIFIED</x:v>
      </x:c>
      <x:c r="Q230" s="235" t="str"/>
      <x:c r="R230" s="235" t="str"/>
      <x:c r="S230" s="233" t="str">
        <x:v>ILO_SCORE25</x:v>
      </x:c>
      <x:c r="T230" s="233" t="str">
        <x:v>WP140 online Annex, Table A1</x:v>
      </x:c>
      <x:c r="U230" s="235" t="str">
        <x:v>PENDING</x:v>
      </x:c>
      <x:c r="V230" s="235" t="str">
        <x:v>Codex</x:v>
      </x:c>
      <x:c r="W230" s="297" t="str">
        <x:v>KBJI–ISCO belum dipetakan; skor 0–5 adalah transformasi ordinal draft.</x:v>
      </x:c>
    </x:row>
    <x:row r="231">
      <x:c r="A231" s="293" t="str"/>
      <x:c r="B231" s="294" t="str"/>
      <x:c r="C231" s="235" t="str"/>
      <x:c r="D231" s="295" t="str">
        <x:v>3142</x:v>
      </x:c>
      <x:c r="E231" s="233" t="str">
        <x:v>Agricultural Technicians</x:v>
      </x:c>
      <x:c r="F231" s="233" t="str">
        <x:v>UNRESOLVED</x:v>
      </x:c>
      <x:c r="G231" s="233"/>
      <x:c r="H231" s="233" t="str"/>
      <x:c r="I231" s="233"/>
      <x:c r="J231" s="233" t="str">
        <x:v>PENDING</x:v>
      </x:c>
      <x:c r="K231" s="233" t="str">
        <x:v>Not Exposed</x:v>
      </x:c>
      <x:c r="L231" s="296" t="n">
        <x:v>0.26</x:v>
      </x:c>
      <x:c r="M231" s="296" t="n">
        <x:v>0.09</x:v>
      </x:c>
      <x:c r="N231" s="233" t="n">
        <x:v>0</x:v>
      </x:c>
      <x:c r="O231" s="233" t="str">
        <x:v>DRAFT_ORDINAL_MAPPING</x:v>
      </x:c>
      <x:c r="P231" s="233" t="str">
        <x:v>VERIFIED</x:v>
      </x:c>
      <x:c r="Q231" s="235" t="str"/>
      <x:c r="R231" s="235" t="str"/>
      <x:c r="S231" s="233" t="str">
        <x:v>ILO_SCORE25</x:v>
      </x:c>
      <x:c r="T231" s="233" t="str">
        <x:v>WP140 online Annex, Table A1</x:v>
      </x:c>
      <x:c r="U231" s="235" t="str">
        <x:v>PENDING</x:v>
      </x:c>
      <x:c r="V231" s="235" t="str">
        <x:v>Codex</x:v>
      </x:c>
      <x:c r="W231" s="297" t="str">
        <x:v>KBJI–ISCO belum dipetakan; skor 0–5 adalah transformasi ordinal draft.</x:v>
      </x:c>
    </x:row>
    <x:row r="232">
      <x:c r="A232" s="293" t="str"/>
      <x:c r="B232" s="294" t="str"/>
      <x:c r="C232" s="235" t="str"/>
      <x:c r="D232" s="295" t="str">
        <x:v>5132</x:v>
      </x:c>
      <x:c r="E232" s="233" t="str">
        <x:v>Bartenders</x:v>
      </x:c>
      <x:c r="F232" s="233" t="str">
        <x:v>UNRESOLVED</x:v>
      </x:c>
      <x:c r="G232" s="233"/>
      <x:c r="H232" s="233" t="str"/>
      <x:c r="I232" s="233"/>
      <x:c r="J232" s="233" t="str">
        <x:v>PENDING</x:v>
      </x:c>
      <x:c r="K232" s="233" t="str">
        <x:v>Not Exposed</x:v>
      </x:c>
      <x:c r="L232" s="296" t="n">
        <x:v>0.26</x:v>
      </x:c>
      <x:c r="M232" s="296" t="n">
        <x:v>0.12</x:v>
      </x:c>
      <x:c r="N232" s="233" t="n">
        <x:v>0</x:v>
      </x:c>
      <x:c r="O232" s="233" t="str">
        <x:v>DRAFT_ORDINAL_MAPPING</x:v>
      </x:c>
      <x:c r="P232" s="233" t="str">
        <x:v>VERIFIED</x:v>
      </x:c>
      <x:c r="Q232" s="235" t="str"/>
      <x:c r="R232" s="235" t="str"/>
      <x:c r="S232" s="233" t="str">
        <x:v>ILO_SCORE25</x:v>
      </x:c>
      <x:c r="T232" s="233" t="str">
        <x:v>WP140 online Annex, Table A1</x:v>
      </x:c>
      <x:c r="U232" s="235" t="str">
        <x:v>PENDING</x:v>
      </x:c>
      <x:c r="V232" s="235" t="str">
        <x:v>Codex</x:v>
      </x:c>
      <x:c r="W232" s="297" t="str">
        <x:v>KBJI–ISCO belum dipetakan; skor 0–5 adalah transformasi ordinal draft.</x:v>
      </x:c>
    </x:row>
    <x:row r="233">
      <x:c r="A233" s="293" t="str"/>
      <x:c r="B233" s="294" t="str"/>
      <x:c r="C233" s="235" t="str"/>
      <x:c r="D233" s="295" t="str">
        <x:v>8121</x:v>
      </x:c>
      <x:c r="E233" s="233" t="str">
        <x:v>Metal Processing Plant Operators</x:v>
      </x:c>
      <x:c r="F233" s="233" t="str">
        <x:v>UNRESOLVED</x:v>
      </x:c>
      <x:c r="G233" s="233"/>
      <x:c r="H233" s="233" t="str"/>
      <x:c r="I233" s="233"/>
      <x:c r="J233" s="233" t="str">
        <x:v>PENDING</x:v>
      </x:c>
      <x:c r="K233" s="233" t="str">
        <x:v>Not Exposed</x:v>
      </x:c>
      <x:c r="L233" s="296" t="n">
        <x:v>0.26</x:v>
      </x:c>
      <x:c r="M233" s="296" t="n">
        <x:v>0.1</x:v>
      </x:c>
      <x:c r="N233" s="233" t="n">
        <x:v>0</x:v>
      </x:c>
      <x:c r="O233" s="233" t="str">
        <x:v>DRAFT_ORDINAL_MAPPING</x:v>
      </x:c>
      <x:c r="P233" s="233" t="str">
        <x:v>VERIFIED</x:v>
      </x:c>
      <x:c r="Q233" s="235" t="str"/>
      <x:c r="R233" s="235" t="str"/>
      <x:c r="S233" s="233" t="str">
        <x:v>ILO_SCORE25</x:v>
      </x:c>
      <x:c r="T233" s="233" t="str">
        <x:v>WP140 online Annex, Table A1</x:v>
      </x:c>
      <x:c r="U233" s="235" t="str">
        <x:v>PENDING</x:v>
      </x:c>
      <x:c r="V233" s="235" t="str">
        <x:v>Codex</x:v>
      </x:c>
      <x:c r="W233" s="297" t="str">
        <x:v>KBJI–ISCO belum dipetakan; skor 0–5 adalah transformasi ordinal draft.</x:v>
      </x:c>
    </x:row>
    <x:row r="234">
      <x:c r="A234" s="293" t="str"/>
      <x:c r="B234" s="294" t="str"/>
      <x:c r="C234" s="235" t="str"/>
      <x:c r="D234" s="295" t="str">
        <x:v>2221</x:v>
      </x:c>
      <x:c r="E234" s="233" t="str">
        <x:v>Nursing Professionals</x:v>
      </x:c>
      <x:c r="F234" s="233" t="str">
        <x:v>UNRESOLVED</x:v>
      </x:c>
      <x:c r="G234" s="233"/>
      <x:c r="H234" s="233" t="str"/>
      <x:c r="I234" s="233"/>
      <x:c r="J234" s="233" t="str">
        <x:v>PENDING</x:v>
      </x:c>
      <x:c r="K234" s="233" t="str">
        <x:v>Not Exposed</x:v>
      </x:c>
      <x:c r="L234" s="296" t="n">
        <x:v>0.25</x:v>
      </x:c>
      <x:c r="M234" s="296" t="n">
        <x:v>0.13</x:v>
      </x:c>
      <x:c r="N234" s="233" t="n">
        <x:v>0</x:v>
      </x:c>
      <x:c r="O234" s="233" t="str">
        <x:v>DRAFT_ORDINAL_MAPPING</x:v>
      </x:c>
      <x:c r="P234" s="233" t="str">
        <x:v>VERIFIED</x:v>
      </x:c>
      <x:c r="Q234" s="235" t="str"/>
      <x:c r="R234" s="235" t="str"/>
      <x:c r="S234" s="233" t="str">
        <x:v>ILO_SCORE25</x:v>
      </x:c>
      <x:c r="T234" s="233" t="str">
        <x:v>WP140 online Annex, Table A1</x:v>
      </x:c>
      <x:c r="U234" s="235" t="str">
        <x:v>PENDING</x:v>
      </x:c>
      <x:c r="V234" s="235" t="str">
        <x:v>Codex</x:v>
      </x:c>
      <x:c r="W234" s="297" t="str">
        <x:v>KBJI–ISCO belum dipetakan; skor 0–5 adalah transformasi ordinal draft.</x:v>
      </x:c>
    </x:row>
    <x:row r="235">
      <x:c r="A235" s="293" t="str"/>
      <x:c r="B235" s="294" t="str"/>
      <x:c r="C235" s="235" t="str"/>
      <x:c r="D235" s="295" t="str">
        <x:v>3423</x:v>
      </x:c>
      <x:c r="E235" s="233" t="str">
        <x:v>Fitness and Recreation Instructors and Programme Leaders</x:v>
      </x:c>
      <x:c r="F235" s="233" t="str">
        <x:v>UNRESOLVED</x:v>
      </x:c>
      <x:c r="G235" s="233"/>
      <x:c r="H235" s="233" t="str"/>
      <x:c r="I235" s="233"/>
      <x:c r="J235" s="233" t="str">
        <x:v>PENDING</x:v>
      </x:c>
      <x:c r="K235" s="233" t="str">
        <x:v>Not Exposed</x:v>
      </x:c>
      <x:c r="L235" s="296" t="n">
        <x:v>0.25</x:v>
      </x:c>
      <x:c r="M235" s="296" t="n">
        <x:v>0.07</x:v>
      </x:c>
      <x:c r="N235" s="233" t="n">
        <x:v>0</x:v>
      </x:c>
      <x:c r="O235" s="233" t="str">
        <x:v>DRAFT_ORDINAL_MAPPING</x:v>
      </x:c>
      <x:c r="P235" s="233" t="str">
        <x:v>VERIFIED</x:v>
      </x:c>
      <x:c r="Q235" s="235" t="str"/>
      <x:c r="R235" s="235" t="str"/>
      <x:c r="S235" s="233" t="str">
        <x:v>ILO_SCORE25</x:v>
      </x:c>
      <x:c r="T235" s="233" t="str">
        <x:v>WP140 online Annex, Table A1</x:v>
      </x:c>
      <x:c r="U235" s="235" t="str">
        <x:v>PENDING</x:v>
      </x:c>
      <x:c r="V235" s="235" t="str">
        <x:v>Codex</x:v>
      </x:c>
      <x:c r="W235" s="297" t="str">
        <x:v>KBJI–ISCO belum dipetakan; skor 0–5 adalah transformasi ordinal draft.</x:v>
      </x:c>
    </x:row>
    <x:row r="236">
      <x:c r="A236" s="293" t="str"/>
      <x:c r="B236" s="294" t="str"/>
      <x:c r="C236" s="235" t="str"/>
      <x:c r="D236" s="295" t="str">
        <x:v>3434</x:v>
      </x:c>
      <x:c r="E236" s="233" t="str">
        <x:v>Chefs</x:v>
      </x:c>
      <x:c r="F236" s="233" t="str">
        <x:v>UNRESOLVED</x:v>
      </x:c>
      <x:c r="G236" s="233"/>
      <x:c r="H236" s="233" t="str"/>
      <x:c r="I236" s="233"/>
      <x:c r="J236" s="233" t="str">
        <x:v>PENDING</x:v>
      </x:c>
      <x:c r="K236" s="233" t="str">
        <x:v>Not Exposed</x:v>
      </x:c>
      <x:c r="L236" s="296" t="n">
        <x:v>0.25</x:v>
      </x:c>
      <x:c r="M236" s="296" t="n">
        <x:v>0.06</x:v>
      </x:c>
      <x:c r="N236" s="233" t="n">
        <x:v>0</x:v>
      </x:c>
      <x:c r="O236" s="233" t="str">
        <x:v>DRAFT_ORDINAL_MAPPING</x:v>
      </x:c>
      <x:c r="P236" s="233" t="str">
        <x:v>VERIFIED</x:v>
      </x:c>
      <x:c r="Q236" s="235" t="str"/>
      <x:c r="R236" s="235" t="str"/>
      <x:c r="S236" s="233" t="str">
        <x:v>ILO_SCORE25</x:v>
      </x:c>
      <x:c r="T236" s="233" t="str">
        <x:v>WP140 online Annex, Table A1</x:v>
      </x:c>
      <x:c r="U236" s="235" t="str">
        <x:v>PENDING</x:v>
      </x:c>
      <x:c r="V236" s="235" t="str">
        <x:v>Codex</x:v>
      </x:c>
      <x:c r="W236" s="297" t="str">
        <x:v>KBJI–ISCO belum dipetakan; skor 0–5 adalah transformasi ordinal draft.</x:v>
      </x:c>
    </x:row>
    <x:row r="237">
      <x:c r="A237" s="293" t="str"/>
      <x:c r="B237" s="294" t="str"/>
      <x:c r="C237" s="235" t="str"/>
      <x:c r="D237" s="295" t="str">
        <x:v>5241</x:v>
      </x:c>
      <x:c r="E237" s="233" t="str">
        <x:v>Fashion and Other Models</x:v>
      </x:c>
      <x:c r="F237" s="233" t="str">
        <x:v>UNRESOLVED</x:v>
      </x:c>
      <x:c r="G237" s="233"/>
      <x:c r="H237" s="233" t="str"/>
      <x:c r="I237" s="233"/>
      <x:c r="J237" s="233" t="str">
        <x:v>PENDING</x:v>
      </x:c>
      <x:c r="K237" s="233" t="str">
        <x:v>Not Exposed</x:v>
      </x:c>
      <x:c r="L237" s="296" t="n">
        <x:v>0.25</x:v>
      </x:c>
      <x:c r="M237" s="296" t="n">
        <x:v>0.06</x:v>
      </x:c>
      <x:c r="N237" s="233" t="n">
        <x:v>0</x:v>
      </x:c>
      <x:c r="O237" s="233" t="str">
        <x:v>DRAFT_ORDINAL_MAPPING</x:v>
      </x:c>
      <x:c r="P237" s="233" t="str">
        <x:v>VERIFIED</x:v>
      </x:c>
      <x:c r="Q237" s="235" t="str"/>
      <x:c r="R237" s="235" t="str"/>
      <x:c r="S237" s="233" t="str">
        <x:v>ILO_SCORE25</x:v>
      </x:c>
      <x:c r="T237" s="233" t="str">
        <x:v>WP140 online Annex, Table A1</x:v>
      </x:c>
      <x:c r="U237" s="235" t="str">
        <x:v>PENDING</x:v>
      </x:c>
      <x:c r="V237" s="235" t="str">
        <x:v>Codex</x:v>
      </x:c>
      <x:c r="W237" s="297" t="str">
        <x:v>KBJI–ISCO belum dipetakan; skor 0–5 adalah transformasi ordinal draft.</x:v>
      </x:c>
    </x:row>
    <x:row r="238">
      <x:c r="A238" s="293" t="str"/>
      <x:c r="B238" s="294" t="str"/>
      <x:c r="C238" s="235" t="str"/>
      <x:c r="D238" s="295" t="str">
        <x:v>7322</x:v>
      </x:c>
      <x:c r="E238" s="233" t="str">
        <x:v>Printers</x:v>
      </x:c>
      <x:c r="F238" s="233" t="str">
        <x:v>UNRESOLVED</x:v>
      </x:c>
      <x:c r="G238" s="233"/>
      <x:c r="H238" s="233" t="str"/>
      <x:c r="I238" s="233"/>
      <x:c r="J238" s="233" t="str">
        <x:v>PENDING</x:v>
      </x:c>
      <x:c r="K238" s="233" t="str">
        <x:v>Not Exposed</x:v>
      </x:c>
      <x:c r="L238" s="296" t="n">
        <x:v>0.25</x:v>
      </x:c>
      <x:c r="M238" s="296" t="n">
        <x:v>0.11</x:v>
      </x:c>
      <x:c r="N238" s="233" t="n">
        <x:v>0</x:v>
      </x:c>
      <x:c r="O238" s="233" t="str">
        <x:v>DRAFT_ORDINAL_MAPPING</x:v>
      </x:c>
      <x:c r="P238" s="233" t="str">
        <x:v>VERIFIED</x:v>
      </x:c>
      <x:c r="Q238" s="235" t="str"/>
      <x:c r="R238" s="235" t="str"/>
      <x:c r="S238" s="233" t="str">
        <x:v>ILO_SCORE25</x:v>
      </x:c>
      <x:c r="T238" s="233" t="str">
        <x:v>WP140 online Annex, Table A1</x:v>
      </x:c>
      <x:c r="U238" s="235" t="str">
        <x:v>PENDING</x:v>
      </x:c>
      <x:c r="V238" s="235" t="str">
        <x:v>Codex</x:v>
      </x:c>
      <x:c r="W238" s="297" t="str">
        <x:v>KBJI–ISCO belum dipetakan; skor 0–5 adalah transformasi ordinal draft.</x:v>
      </x:c>
    </x:row>
    <x:row r="239">
      <x:c r="A239" s="293" t="str"/>
      <x:c r="B239" s="294" t="str"/>
      <x:c r="C239" s="235" t="str"/>
      <x:c r="D239" s="295" t="str">
        <x:v>7421</x:v>
      </x:c>
      <x:c r="E239" s="233" t="str">
        <x:v>Electronics Mechanics and Servicers</x:v>
      </x:c>
      <x:c r="F239" s="233" t="str">
        <x:v>UNRESOLVED</x:v>
      </x:c>
      <x:c r="G239" s="233"/>
      <x:c r="H239" s="233" t="str"/>
      <x:c r="I239" s="233"/>
      <x:c r="J239" s="233" t="str">
        <x:v>PENDING</x:v>
      </x:c>
      <x:c r="K239" s="233" t="str">
        <x:v>Not Exposed</x:v>
      </x:c>
      <x:c r="L239" s="296" t="n">
        <x:v>0.25</x:v>
      </x:c>
      <x:c r="M239" s="296" t="n">
        <x:v>0.13</x:v>
      </x:c>
      <x:c r="N239" s="233" t="n">
        <x:v>0</x:v>
      </x:c>
      <x:c r="O239" s="233" t="str">
        <x:v>DRAFT_ORDINAL_MAPPING</x:v>
      </x:c>
      <x:c r="P239" s="233" t="str">
        <x:v>VERIFIED</x:v>
      </x:c>
      <x:c r="Q239" s="235" t="str"/>
      <x:c r="R239" s="235" t="str"/>
      <x:c r="S239" s="233" t="str">
        <x:v>ILO_SCORE25</x:v>
      </x:c>
      <x:c r="T239" s="233" t="str">
        <x:v>WP140 online Annex, Table A1</x:v>
      </x:c>
      <x:c r="U239" s="235" t="str">
        <x:v>PENDING</x:v>
      </x:c>
      <x:c r="V239" s="235" t="str">
        <x:v>Codex</x:v>
      </x:c>
      <x:c r="W239" s="297" t="str">
        <x:v>KBJI–ISCO belum dipetakan; skor 0–5 adalah transformasi ordinal draft.</x:v>
      </x:c>
    </x:row>
    <x:row r="240">
      <x:c r="A240" s="293" t="str"/>
      <x:c r="B240" s="294" t="str"/>
      <x:c r="C240" s="235" t="str"/>
      <x:c r="D240" s="295" t="str">
        <x:v>2266</x:v>
      </x:c>
      <x:c r="E240" s="233" t="str">
        <x:v>Audiologists and Speech Therapists</x:v>
      </x:c>
      <x:c r="F240" s="233" t="str">
        <x:v>UNRESOLVED</x:v>
      </x:c>
      <x:c r="G240" s="233"/>
      <x:c r="H240" s="233" t="str"/>
      <x:c r="I240" s="233"/>
      <x:c r="J240" s="233" t="str">
        <x:v>PENDING</x:v>
      </x:c>
      <x:c r="K240" s="233" t="str">
        <x:v>Not Exposed</x:v>
      </x:c>
      <x:c r="L240" s="296" t="n">
        <x:v>0.24</x:v>
      </x:c>
      <x:c r="M240" s="296" t="n">
        <x:v>0.04</x:v>
      </x:c>
      <x:c r="N240" s="233" t="n">
        <x:v>0</x:v>
      </x:c>
      <x:c r="O240" s="233" t="str">
        <x:v>DRAFT_ORDINAL_MAPPING</x:v>
      </x:c>
      <x:c r="P240" s="233" t="str">
        <x:v>VERIFIED</x:v>
      </x:c>
      <x:c r="Q240" s="235" t="str"/>
      <x:c r="R240" s="235" t="str"/>
      <x:c r="S240" s="233" t="str">
        <x:v>ILO_SCORE25</x:v>
      </x:c>
      <x:c r="T240" s="233" t="str">
        <x:v>WP140 online Annex, Table A1</x:v>
      </x:c>
      <x:c r="U240" s="235" t="str">
        <x:v>PENDING</x:v>
      </x:c>
      <x:c r="V240" s="235" t="str">
        <x:v>Codex</x:v>
      </x:c>
      <x:c r="W240" s="297" t="str">
        <x:v>KBJI–ISCO belum dipetakan; skor 0–5 adalah transformasi ordinal draft.</x:v>
      </x:c>
    </x:row>
    <x:row r="241">
      <x:c r="A241" s="293" t="str"/>
      <x:c r="B241" s="294" t="str"/>
      <x:c r="C241" s="235" t="str"/>
      <x:c r="D241" s="295" t="str">
        <x:v>2267</x:v>
      </x:c>
      <x:c r="E241" s="233" t="str">
        <x:v>Optometrists and Ophthalmic Opticians</x:v>
      </x:c>
      <x:c r="F241" s="233" t="str">
        <x:v>UNRESOLVED</x:v>
      </x:c>
      <x:c r="G241" s="233"/>
      <x:c r="H241" s="233" t="str"/>
      <x:c r="I241" s="233"/>
      <x:c r="J241" s="233" t="str">
        <x:v>PENDING</x:v>
      </x:c>
      <x:c r="K241" s="233" t="str">
        <x:v>Not Exposed</x:v>
      </x:c>
      <x:c r="L241" s="296" t="n">
        <x:v>0.24</x:v>
      </x:c>
      <x:c r="M241" s="296" t="n">
        <x:v>0.07</x:v>
      </x:c>
      <x:c r="N241" s="233" t="n">
        <x:v>0</x:v>
      </x:c>
      <x:c r="O241" s="233" t="str">
        <x:v>DRAFT_ORDINAL_MAPPING</x:v>
      </x:c>
      <x:c r="P241" s="233" t="str">
        <x:v>VERIFIED</x:v>
      </x:c>
      <x:c r="Q241" s="235" t="str"/>
      <x:c r="R241" s="235" t="str"/>
      <x:c r="S241" s="233" t="str">
        <x:v>ILO_SCORE25</x:v>
      </x:c>
      <x:c r="T241" s="233" t="str">
        <x:v>WP140 online Annex, Table A1</x:v>
      </x:c>
      <x:c r="U241" s="235" t="str">
        <x:v>PENDING</x:v>
      </x:c>
      <x:c r="V241" s="235" t="str">
        <x:v>Codex</x:v>
      </x:c>
      <x:c r="W241" s="297" t="str">
        <x:v>KBJI–ISCO belum dipetakan; skor 0–5 adalah transformasi ordinal draft.</x:v>
      </x:c>
    </x:row>
    <x:row r="242">
      <x:c r="A242" s="293" t="str"/>
      <x:c r="B242" s="294" t="str"/>
      <x:c r="C242" s="235" t="str"/>
      <x:c r="D242" s="295" t="str">
        <x:v>3254</x:v>
      </x:c>
      <x:c r="E242" s="233" t="str">
        <x:v>Dispensing Opticians</x:v>
      </x:c>
      <x:c r="F242" s="233" t="str">
        <x:v>UNRESOLVED</x:v>
      </x:c>
      <x:c r="G242" s="233"/>
      <x:c r="H242" s="233" t="str"/>
      <x:c r="I242" s="233"/>
      <x:c r="J242" s="233" t="str">
        <x:v>PENDING</x:v>
      </x:c>
      <x:c r="K242" s="233" t="str">
        <x:v>Not Exposed</x:v>
      </x:c>
      <x:c r="L242" s="296" t="n">
        <x:v>0.24</x:v>
      </x:c>
      <x:c r="M242" s="296" t="n">
        <x:v>0.07</x:v>
      </x:c>
      <x:c r="N242" s="233" t="n">
        <x:v>0</x:v>
      </x:c>
      <x:c r="O242" s="233" t="str">
        <x:v>DRAFT_ORDINAL_MAPPING</x:v>
      </x:c>
      <x:c r="P242" s="233" t="str">
        <x:v>VERIFIED</x:v>
      </x:c>
      <x:c r="Q242" s="235" t="str"/>
      <x:c r="R242" s="235" t="str"/>
      <x:c r="S242" s="233" t="str">
        <x:v>ILO_SCORE25</x:v>
      </x:c>
      <x:c r="T242" s="233" t="str">
        <x:v>WP140 online Annex, Table A1</x:v>
      </x:c>
      <x:c r="U242" s="235" t="str">
        <x:v>PENDING</x:v>
      </x:c>
      <x:c r="V242" s="235" t="str">
        <x:v>Codex</x:v>
      </x:c>
      <x:c r="W242" s="297" t="str">
        <x:v>KBJI–ISCO belum dipetakan; skor 0–5 adalah transformasi ordinal draft.</x:v>
      </x:c>
    </x:row>
    <x:row r="243">
      <x:c r="A243" s="293" t="str"/>
      <x:c r="B243" s="294" t="str"/>
      <x:c r="C243" s="235" t="str"/>
      <x:c r="D243" s="295" t="str">
        <x:v>3257</x:v>
      </x:c>
      <x:c r="E243" s="233" t="str">
        <x:v>Environmental and Occupational Health Inspectors and Associates</x:v>
      </x:c>
      <x:c r="F243" s="233" t="str">
        <x:v>UNRESOLVED</x:v>
      </x:c>
      <x:c r="G243" s="233"/>
      <x:c r="H243" s="233" t="str"/>
      <x:c r="I243" s="233"/>
      <x:c r="J243" s="233" t="str">
        <x:v>PENDING</x:v>
      </x:c>
      <x:c r="K243" s="233" t="str">
        <x:v>Not Exposed</x:v>
      </x:c>
      <x:c r="L243" s="296" t="n">
        <x:v>0.24</x:v>
      </x:c>
      <x:c r="M243" s="296" t="n">
        <x:v>0.04</x:v>
      </x:c>
      <x:c r="N243" s="233" t="n">
        <x:v>0</x:v>
      </x:c>
      <x:c r="O243" s="233" t="str">
        <x:v>DRAFT_ORDINAL_MAPPING</x:v>
      </x:c>
      <x:c r="P243" s="233" t="str">
        <x:v>VERIFIED</x:v>
      </x:c>
      <x:c r="Q243" s="235" t="str"/>
      <x:c r="R243" s="235" t="str"/>
      <x:c r="S243" s="233" t="str">
        <x:v>ILO_SCORE25</x:v>
      </x:c>
      <x:c r="T243" s="233" t="str">
        <x:v>WP140 online Annex, Table A1</x:v>
      </x:c>
      <x:c r="U243" s="235" t="str">
        <x:v>PENDING</x:v>
      </x:c>
      <x:c r="V243" s="235" t="str">
        <x:v>Codex</x:v>
      </x:c>
      <x:c r="W243" s="297" t="str">
        <x:v>KBJI–ISCO belum dipetakan; skor 0–5 adalah transformasi ordinal draft.</x:v>
      </x:c>
    </x:row>
    <x:row r="244">
      <x:c r="A244" s="293" t="str"/>
      <x:c r="B244" s="294" t="str"/>
      <x:c r="C244" s="235" t="str"/>
      <x:c r="D244" s="295" t="str">
        <x:v>5246</x:v>
      </x:c>
      <x:c r="E244" s="233" t="str">
        <x:v>Food Service Counter Attendants</x:v>
      </x:c>
      <x:c r="F244" s="233" t="str">
        <x:v>UNRESOLVED</x:v>
      </x:c>
      <x:c r="G244" s="233"/>
      <x:c r="H244" s="233" t="str"/>
      <x:c r="I244" s="233"/>
      <x:c r="J244" s="233" t="str">
        <x:v>PENDING</x:v>
      </x:c>
      <x:c r="K244" s="233" t="str">
        <x:v>Not Exposed</x:v>
      </x:c>
      <x:c r="L244" s="296" t="n">
        <x:v>0.24</x:v>
      </x:c>
      <x:c r="M244" s="296" t="n">
        <x:v>0.13</x:v>
      </x:c>
      <x:c r="N244" s="233" t="n">
        <x:v>0</x:v>
      </x:c>
      <x:c r="O244" s="233" t="str">
        <x:v>DRAFT_ORDINAL_MAPPING</x:v>
      </x:c>
      <x:c r="P244" s="233" t="str">
        <x:v>VERIFIED</x:v>
      </x:c>
      <x:c r="Q244" s="235" t="str"/>
      <x:c r="R244" s="235" t="str"/>
      <x:c r="S244" s="233" t="str">
        <x:v>ILO_SCORE25</x:v>
      </x:c>
      <x:c r="T244" s="233" t="str">
        <x:v>WP140 online Annex, Table A1</x:v>
      </x:c>
      <x:c r="U244" s="235" t="str">
        <x:v>PENDING</x:v>
      </x:c>
      <x:c r="V244" s="235" t="str">
        <x:v>Codex</x:v>
      </x:c>
      <x:c r="W244" s="297" t="str">
        <x:v>KBJI–ISCO belum dipetakan; skor 0–5 adalah transformasi ordinal draft.</x:v>
      </x:c>
    </x:row>
    <x:row r="245">
      <x:c r="A245" s="293" t="str"/>
      <x:c r="B245" s="294" t="str"/>
      <x:c r="C245" s="235" t="str"/>
      <x:c r="D245" s="295" t="str">
        <x:v>5312</x:v>
      </x:c>
      <x:c r="E245" s="233" t="str">
        <x:v>Teachers' Aides</x:v>
      </x:c>
      <x:c r="F245" s="233" t="str">
        <x:v>UNRESOLVED</x:v>
      </x:c>
      <x:c r="G245" s="233"/>
      <x:c r="H245" s="233" t="str"/>
      <x:c r="I245" s="233"/>
      <x:c r="J245" s="233" t="str">
        <x:v>PENDING</x:v>
      </x:c>
      <x:c r="K245" s="233" t="str">
        <x:v>Not Exposed</x:v>
      </x:c>
      <x:c r="L245" s="296" t="n">
        <x:v>0.24</x:v>
      </x:c>
      <x:c r="M245" s="296" t="n">
        <x:v>0.14</x:v>
      </x:c>
      <x:c r="N245" s="233" t="n">
        <x:v>0</x:v>
      </x:c>
      <x:c r="O245" s="233" t="str">
        <x:v>DRAFT_ORDINAL_MAPPING</x:v>
      </x:c>
      <x:c r="P245" s="233" t="str">
        <x:v>VERIFIED</x:v>
      </x:c>
      <x:c r="Q245" s="235" t="str"/>
      <x:c r="R245" s="235" t="str"/>
      <x:c r="S245" s="233" t="str">
        <x:v>ILO_SCORE25</x:v>
      </x:c>
      <x:c r="T245" s="233" t="str">
        <x:v>WP140 online Annex, Table A1</x:v>
      </x:c>
      <x:c r="U245" s="235" t="str">
        <x:v>PENDING</x:v>
      </x:c>
      <x:c r="V245" s="235" t="str">
        <x:v>Codex</x:v>
      </x:c>
      <x:c r="W245" s="297" t="str">
        <x:v>KBJI–ISCO belum dipetakan; skor 0–5 adalah transformasi ordinal draft.</x:v>
      </x:c>
    </x:row>
    <x:row r="246">
      <x:c r="A246" s="293" t="str"/>
      <x:c r="B246" s="294" t="str"/>
      <x:c r="C246" s="235" t="str"/>
      <x:c r="D246" s="295" t="str">
        <x:v>7422</x:v>
      </x:c>
      <x:c r="E246" s="233" t="str">
        <x:v>Information and Communications Technology Installers and Servicers</x:v>
      </x:c>
      <x:c r="F246" s="233" t="str">
        <x:v>UNRESOLVED</x:v>
      </x:c>
      <x:c r="G246" s="233"/>
      <x:c r="H246" s="233" t="str"/>
      <x:c r="I246" s="233"/>
      <x:c r="J246" s="233" t="str">
        <x:v>PENDING</x:v>
      </x:c>
      <x:c r="K246" s="233" t="str">
        <x:v>Not Exposed</x:v>
      </x:c>
      <x:c r="L246" s="296" t="n">
        <x:v>0.24</x:v>
      </x:c>
      <x:c r="M246" s="296" t="n">
        <x:v>0.14</x:v>
      </x:c>
      <x:c r="N246" s="233" t="n">
        <x:v>0</x:v>
      </x:c>
      <x:c r="O246" s="233" t="str">
        <x:v>DRAFT_ORDINAL_MAPPING</x:v>
      </x:c>
      <x:c r="P246" s="233" t="str">
        <x:v>VERIFIED</x:v>
      </x:c>
      <x:c r="Q246" s="235" t="str"/>
      <x:c r="R246" s="235" t="str"/>
      <x:c r="S246" s="233" t="str">
        <x:v>ILO_SCORE25</x:v>
      </x:c>
      <x:c r="T246" s="233" t="str">
        <x:v>WP140 online Annex, Table A1</x:v>
      </x:c>
      <x:c r="U246" s="235" t="str">
        <x:v>PENDING</x:v>
      </x:c>
      <x:c r="V246" s="235" t="str">
        <x:v>Codex</x:v>
      </x:c>
      <x:c r="W246" s="297" t="str">
        <x:v>KBJI–ISCO belum dipetakan; skor 0–5 adalah transformasi ordinal draft.</x:v>
      </x:c>
    </x:row>
    <x:row r="247">
      <x:c r="A247" s="293" t="str"/>
      <x:c r="B247" s="294" t="str"/>
      <x:c r="C247" s="235" t="str"/>
      <x:c r="D247" s="295" t="str">
        <x:v>8131</x:v>
      </x:c>
      <x:c r="E247" s="233" t="str">
        <x:v>Chemical Products Plant and Machine Operators</x:v>
      </x:c>
      <x:c r="F247" s="233" t="str">
        <x:v>UNRESOLVED</x:v>
      </x:c>
      <x:c r="G247" s="233"/>
      <x:c r="H247" s="233" t="str"/>
      <x:c r="I247" s="233"/>
      <x:c r="J247" s="233" t="str">
        <x:v>PENDING</x:v>
      </x:c>
      <x:c r="K247" s="233" t="str">
        <x:v>Not Exposed</x:v>
      </x:c>
      <x:c r="L247" s="296" t="n">
        <x:v>0.24</x:v>
      </x:c>
      <x:c r="M247" s="296" t="n">
        <x:v>0.07</x:v>
      </x:c>
      <x:c r="N247" s="233" t="n">
        <x:v>0</x:v>
      </x:c>
      <x:c r="O247" s="233" t="str">
        <x:v>DRAFT_ORDINAL_MAPPING</x:v>
      </x:c>
      <x:c r="P247" s="233" t="str">
        <x:v>VERIFIED</x:v>
      </x:c>
      <x:c r="Q247" s="235" t="str"/>
      <x:c r="R247" s="235" t="str"/>
      <x:c r="S247" s="233" t="str">
        <x:v>ILO_SCORE25</x:v>
      </x:c>
      <x:c r="T247" s="233" t="str">
        <x:v>WP140 online Annex, Table A1</x:v>
      </x:c>
      <x:c r="U247" s="235" t="str">
        <x:v>PENDING</x:v>
      </x:c>
      <x:c r="V247" s="235" t="str">
        <x:v>Codex</x:v>
      </x:c>
      <x:c r="W247" s="297" t="str">
        <x:v>KBJI–ISCO belum dipetakan; skor 0–5 adalah transformasi ordinal draft.</x:v>
      </x:c>
    </x:row>
    <x:row r="248">
      <x:c r="A248" s="293" t="str"/>
      <x:c r="B248" s="294" t="str"/>
      <x:c r="C248" s="235" t="str"/>
      <x:c r="D248" s="295" t="str">
        <x:v>1113</x:v>
      </x:c>
      <x:c r="E248" s="233" t="str">
        <x:v>Traditional Chiefs and Heads of Villages</x:v>
      </x:c>
      <x:c r="F248" s="233" t="str">
        <x:v>UNRESOLVED</x:v>
      </x:c>
      <x:c r="G248" s="233"/>
      <x:c r="H248" s="233" t="str"/>
      <x:c r="I248" s="233"/>
      <x:c r="J248" s="233" t="str">
        <x:v>PENDING</x:v>
      </x:c>
      <x:c r="K248" s="233" t="str">
        <x:v>Not Exposed</x:v>
      </x:c>
      <x:c r="L248" s="296" t="n">
        <x:v>0.23</x:v>
      </x:c>
      <x:c r="M248" s="296" t="n">
        <x:v>0.1</x:v>
      </x:c>
      <x:c r="N248" s="233" t="n">
        <x:v>0</x:v>
      </x:c>
      <x:c r="O248" s="233" t="str">
        <x:v>DRAFT_ORDINAL_MAPPING</x:v>
      </x:c>
      <x:c r="P248" s="233" t="str">
        <x:v>VERIFIED</x:v>
      </x:c>
      <x:c r="Q248" s="235" t="str"/>
      <x:c r="R248" s="235" t="str"/>
      <x:c r="S248" s="233" t="str">
        <x:v>ILO_SCORE25</x:v>
      </x:c>
      <x:c r="T248" s="233" t="str">
        <x:v>WP140 online Annex, Table A1</x:v>
      </x:c>
      <x:c r="U248" s="235" t="str">
        <x:v>PENDING</x:v>
      </x:c>
      <x:c r="V248" s="235" t="str">
        <x:v>Codex</x:v>
      </x:c>
      <x:c r="W248" s="297" t="str">
        <x:v>KBJI–ISCO belum dipetakan; skor 0–5 adalah transformasi ordinal draft.</x:v>
      </x:c>
    </x:row>
    <x:row r="249">
      <x:c r="A249" s="293" t="str"/>
      <x:c r="B249" s="294" t="str"/>
      <x:c r="C249" s="235" t="str"/>
      <x:c r="D249" s="295" t="str">
        <x:v>2240</x:v>
      </x:c>
      <x:c r="E249" s="233" t="str">
        <x:v>Paramedical Practitioners</x:v>
      </x:c>
      <x:c r="F249" s="233" t="str">
        <x:v>UNRESOLVED</x:v>
      </x:c>
      <x:c r="G249" s="233"/>
      <x:c r="H249" s="233" t="str"/>
      <x:c r="I249" s="233"/>
      <x:c r="J249" s="233" t="str">
        <x:v>PENDING</x:v>
      </x:c>
      <x:c r="K249" s="233" t="str">
        <x:v>Not Exposed</x:v>
      </x:c>
      <x:c r="L249" s="296" t="n">
        <x:v>0.23</x:v>
      </x:c>
      <x:c r="M249" s="296" t="n">
        <x:v>0.13</x:v>
      </x:c>
      <x:c r="N249" s="233" t="n">
        <x:v>0</x:v>
      </x:c>
      <x:c r="O249" s="233" t="str">
        <x:v>DRAFT_ORDINAL_MAPPING</x:v>
      </x:c>
      <x:c r="P249" s="233" t="str">
        <x:v>VERIFIED</x:v>
      </x:c>
      <x:c r="Q249" s="235" t="str"/>
      <x:c r="R249" s="235" t="str"/>
      <x:c r="S249" s="233" t="str">
        <x:v>ILO_SCORE25</x:v>
      </x:c>
      <x:c r="T249" s="233" t="str">
        <x:v>WP140 online Annex, Table A1</x:v>
      </x:c>
      <x:c r="U249" s="235" t="str">
        <x:v>PENDING</x:v>
      </x:c>
      <x:c r="V249" s="235" t="str">
        <x:v>Codex</x:v>
      </x:c>
      <x:c r="W249" s="297" t="str">
        <x:v>KBJI–ISCO belum dipetakan; skor 0–5 adalah transformasi ordinal draft.</x:v>
      </x:c>
    </x:row>
    <x:row r="250">
      <x:c r="A250" s="293" t="str"/>
      <x:c r="B250" s="294" t="str"/>
      <x:c r="C250" s="235" t="str"/>
      <x:c r="D250" s="295" t="str">
        <x:v>3151</x:v>
      </x:c>
      <x:c r="E250" s="233" t="str">
        <x:v>Ships' Engineers</x:v>
      </x:c>
      <x:c r="F250" s="233" t="str">
        <x:v>UNRESOLVED</x:v>
      </x:c>
      <x:c r="G250" s="233"/>
      <x:c r="H250" s="233" t="str"/>
      <x:c r="I250" s="233"/>
      <x:c r="J250" s="233" t="str">
        <x:v>PENDING</x:v>
      </x:c>
      <x:c r="K250" s="233" t="str">
        <x:v>Not Exposed</x:v>
      </x:c>
      <x:c r="L250" s="296" t="n">
        <x:v>0.23</x:v>
      </x:c>
      <x:c r="M250" s="296" t="n">
        <x:v>0.05</x:v>
      </x:c>
      <x:c r="N250" s="233" t="n">
        <x:v>0</x:v>
      </x:c>
      <x:c r="O250" s="233" t="str">
        <x:v>DRAFT_ORDINAL_MAPPING</x:v>
      </x:c>
      <x:c r="P250" s="233" t="str">
        <x:v>VERIFIED</x:v>
      </x:c>
      <x:c r="Q250" s="235" t="str"/>
      <x:c r="R250" s="235" t="str"/>
      <x:c r="S250" s="233" t="str">
        <x:v>ILO_SCORE25</x:v>
      </x:c>
      <x:c r="T250" s="233" t="str">
        <x:v>WP140 online Annex, Table A1</x:v>
      </x:c>
      <x:c r="U250" s="235" t="str">
        <x:v>PENDING</x:v>
      </x:c>
      <x:c r="V250" s="235" t="str">
        <x:v>Codex</x:v>
      </x:c>
      <x:c r="W250" s="297" t="str">
        <x:v>KBJI–ISCO belum dipetakan; skor 0–5 adalah transformasi ordinal draft.</x:v>
      </x:c>
    </x:row>
    <x:row r="251">
      <x:c r="A251" s="293" t="str"/>
      <x:c r="B251" s="294" t="str"/>
      <x:c r="C251" s="235" t="str"/>
      <x:c r="D251" s="295" t="str">
        <x:v>3355</x:v>
      </x:c>
      <x:c r="E251" s="233" t="str">
        <x:v>Police Inspectors and Detectives</x:v>
      </x:c>
      <x:c r="F251" s="233" t="str">
        <x:v>UNRESOLVED</x:v>
      </x:c>
      <x:c r="G251" s="233"/>
      <x:c r="H251" s="233" t="str"/>
      <x:c r="I251" s="233"/>
      <x:c r="J251" s="233" t="str">
        <x:v>PENDING</x:v>
      </x:c>
      <x:c r="K251" s="233" t="str">
        <x:v>Not Exposed</x:v>
      </x:c>
      <x:c r="L251" s="296" t="n">
        <x:v>0.23</x:v>
      </x:c>
      <x:c r="M251" s="296" t="n">
        <x:v>0.07</x:v>
      </x:c>
      <x:c r="N251" s="233" t="n">
        <x:v>0</x:v>
      </x:c>
      <x:c r="O251" s="233" t="str">
        <x:v>DRAFT_ORDINAL_MAPPING</x:v>
      </x:c>
      <x:c r="P251" s="233" t="str">
        <x:v>VERIFIED</x:v>
      </x:c>
      <x:c r="Q251" s="235" t="str"/>
      <x:c r="R251" s="235" t="str"/>
      <x:c r="S251" s="233" t="str">
        <x:v>ILO_SCORE25</x:v>
      </x:c>
      <x:c r="T251" s="233" t="str">
        <x:v>WP140 online Annex, Table A1</x:v>
      </x:c>
      <x:c r="U251" s="235" t="str">
        <x:v>PENDING</x:v>
      </x:c>
      <x:c r="V251" s="235" t="str">
        <x:v>Codex</x:v>
      </x:c>
      <x:c r="W251" s="297" t="str">
        <x:v>KBJI–ISCO belum dipetakan; skor 0–5 adalah transformasi ordinal draft.</x:v>
      </x:c>
    </x:row>
    <x:row r="252">
      <x:c r="A252" s="293" t="str"/>
      <x:c r="B252" s="294" t="str"/>
      <x:c r="C252" s="235" t="str"/>
      <x:c r="D252" s="295" t="str">
        <x:v>3421</x:v>
      </x:c>
      <x:c r="E252" s="233" t="str">
        <x:v>Athletes and Sports Players</x:v>
      </x:c>
      <x:c r="F252" s="233" t="str">
        <x:v>UNRESOLVED</x:v>
      </x:c>
      <x:c r="G252" s="233"/>
      <x:c r="H252" s="233" t="str"/>
      <x:c r="I252" s="233"/>
      <x:c r="J252" s="233" t="str">
        <x:v>PENDING</x:v>
      </x:c>
      <x:c r="K252" s="233" t="str">
        <x:v>Not Exposed</x:v>
      </x:c>
      <x:c r="L252" s="296" t="n">
        <x:v>0.23</x:v>
      </x:c>
      <x:c r="M252" s="296" t="n">
        <x:v>0.11</x:v>
      </x:c>
      <x:c r="N252" s="233" t="n">
        <x:v>0</x:v>
      </x:c>
      <x:c r="O252" s="233" t="str">
        <x:v>DRAFT_ORDINAL_MAPPING</x:v>
      </x:c>
      <x:c r="P252" s="233" t="str">
        <x:v>VERIFIED</x:v>
      </x:c>
      <x:c r="Q252" s="235" t="str"/>
      <x:c r="R252" s="235" t="str"/>
      <x:c r="S252" s="233" t="str">
        <x:v>ILO_SCORE25</x:v>
      </x:c>
      <x:c r="T252" s="233" t="str">
        <x:v>WP140 online Annex, Table A1</x:v>
      </x:c>
      <x:c r="U252" s="235" t="str">
        <x:v>PENDING</x:v>
      </x:c>
      <x:c r="V252" s="235" t="str">
        <x:v>Codex</x:v>
      </x:c>
      <x:c r="W252" s="297" t="str">
        <x:v>KBJI–ISCO belum dipetakan; skor 0–5 adalah transformasi ordinal draft.</x:v>
      </x:c>
    </x:row>
    <x:row r="253">
      <x:c r="A253" s="293" t="str"/>
      <x:c r="B253" s="294" t="str"/>
      <x:c r="C253" s="235" t="str"/>
      <x:c r="D253" s="295" t="str">
        <x:v>8114</x:v>
      </x:c>
      <x:c r="E253" s="233" t="str">
        <x:v>Cement, Stone and Other Mineral Products Machine Operators</x:v>
      </x:c>
      <x:c r="F253" s="233" t="str">
        <x:v>UNRESOLVED</x:v>
      </x:c>
      <x:c r="G253" s="233"/>
      <x:c r="H253" s="233" t="str"/>
      <x:c r="I253" s="233"/>
      <x:c r="J253" s="233" t="str">
        <x:v>PENDING</x:v>
      </x:c>
      <x:c r="K253" s="233" t="str">
        <x:v>Not Exposed</x:v>
      </x:c>
      <x:c r="L253" s="296" t="n">
        <x:v>0.23</x:v>
      </x:c>
      <x:c r="M253" s="296" t="n">
        <x:v>0.11</x:v>
      </x:c>
      <x:c r="N253" s="233" t="n">
        <x:v>0</x:v>
      </x:c>
      <x:c r="O253" s="233" t="str">
        <x:v>DRAFT_ORDINAL_MAPPING</x:v>
      </x:c>
      <x:c r="P253" s="233" t="str">
        <x:v>VERIFIED</x:v>
      </x:c>
      <x:c r="Q253" s="235" t="str"/>
      <x:c r="R253" s="235" t="str"/>
      <x:c r="S253" s="233" t="str">
        <x:v>ILO_SCORE25</x:v>
      </x:c>
      <x:c r="T253" s="233" t="str">
        <x:v>WP140 online Annex, Table A1</x:v>
      </x:c>
      <x:c r="U253" s="235" t="str">
        <x:v>PENDING</x:v>
      </x:c>
      <x:c r="V253" s="235" t="str">
        <x:v>Codex</x:v>
      </x:c>
      <x:c r="W253" s="297" t="str">
        <x:v>KBJI–ISCO belum dipetakan; skor 0–5 adalah transformasi ordinal draft.</x:v>
      </x:c>
    </x:row>
    <x:row r="254">
      <x:c r="A254" s="293" t="str"/>
      <x:c r="B254" s="294" t="str"/>
      <x:c r="C254" s="235" t="str"/>
      <x:c r="D254" s="295" t="str">
        <x:v>1312</x:v>
      </x:c>
      <x:c r="E254" s="233" t="str">
        <x:v>Aquaculture and Fisheries Production Managers</x:v>
      </x:c>
      <x:c r="F254" s="233" t="str">
        <x:v>UNRESOLVED</x:v>
      </x:c>
      <x:c r="G254" s="233"/>
      <x:c r="H254" s="233" t="str"/>
      <x:c r="I254" s="233"/>
      <x:c r="J254" s="233" t="str">
        <x:v>PENDING</x:v>
      </x:c>
      <x:c r="K254" s="233" t="str">
        <x:v>Not Exposed</x:v>
      </x:c>
      <x:c r="L254" s="296" t="n">
        <x:v>0.22</x:v>
      </x:c>
      <x:c r="M254" s="296" t="n">
        <x:v>0.08</x:v>
      </x:c>
      <x:c r="N254" s="233" t="n">
        <x:v>0</x:v>
      </x:c>
      <x:c r="O254" s="233" t="str">
        <x:v>DRAFT_ORDINAL_MAPPING</x:v>
      </x:c>
      <x:c r="P254" s="233" t="str">
        <x:v>VERIFIED</x:v>
      </x:c>
      <x:c r="Q254" s="235" t="str"/>
      <x:c r="R254" s="235" t="str"/>
      <x:c r="S254" s="233" t="str">
        <x:v>ILO_SCORE25</x:v>
      </x:c>
      <x:c r="T254" s="233" t="str">
        <x:v>WP140 online Annex, Table A1</x:v>
      </x:c>
      <x:c r="U254" s="235" t="str">
        <x:v>PENDING</x:v>
      </x:c>
      <x:c r="V254" s="235" t="str">
        <x:v>Codex</x:v>
      </x:c>
      <x:c r="W254" s="297" t="str">
        <x:v>KBJI–ISCO belum dipetakan; skor 0–5 adalah transformasi ordinal draft.</x:v>
      </x:c>
    </x:row>
    <x:row r="255">
      <x:c r="A255" s="293" t="str"/>
      <x:c r="B255" s="294" t="str"/>
      <x:c r="C255" s="235" t="str"/>
      <x:c r="D255" s="295" t="str">
        <x:v>3211</x:v>
      </x:c>
      <x:c r="E255" s="233" t="str">
        <x:v>Medical Imaging and Therapeutic Equipment Technicians</x:v>
      </x:c>
      <x:c r="F255" s="233" t="str">
        <x:v>UNRESOLVED</x:v>
      </x:c>
      <x:c r="G255" s="233"/>
      <x:c r="H255" s="233" t="str"/>
      <x:c r="I255" s="233"/>
      <x:c r="J255" s="233" t="str">
        <x:v>PENDING</x:v>
      </x:c>
      <x:c r="K255" s="233" t="str">
        <x:v>Not Exposed</x:v>
      </x:c>
      <x:c r="L255" s="296" t="n">
        <x:v>0.22</x:v>
      </x:c>
      <x:c r="M255" s="296" t="n">
        <x:v>0.03</x:v>
      </x:c>
      <x:c r="N255" s="233" t="n">
        <x:v>0</x:v>
      </x:c>
      <x:c r="O255" s="233" t="str">
        <x:v>DRAFT_ORDINAL_MAPPING</x:v>
      </x:c>
      <x:c r="P255" s="233" t="str">
        <x:v>VERIFIED</x:v>
      </x:c>
      <x:c r="Q255" s="235" t="str"/>
      <x:c r="R255" s="235" t="str"/>
      <x:c r="S255" s="233" t="str">
        <x:v>ILO_SCORE25</x:v>
      </x:c>
      <x:c r="T255" s="233" t="str">
        <x:v>WP140 online Annex, Table A1</x:v>
      </x:c>
      <x:c r="U255" s="235" t="str">
        <x:v>PENDING</x:v>
      </x:c>
      <x:c r="V255" s="235" t="str">
        <x:v>Codex</x:v>
      </x:c>
      <x:c r="W255" s="297" t="str">
        <x:v>KBJI–ISCO belum dipetakan; skor 0–5 adalah transformasi ordinal draft.</x:v>
      </x:c>
    </x:row>
    <x:row r="256">
      <x:c r="A256" s="293" t="str"/>
      <x:c r="B256" s="294" t="str"/>
      <x:c r="C256" s="235" t="str"/>
      <x:c r="D256" s="295" t="str">
        <x:v>3253</x:v>
      </x:c>
      <x:c r="E256" s="233" t="str">
        <x:v>Community Health Workers</x:v>
      </x:c>
      <x:c r="F256" s="233" t="str">
        <x:v>UNRESOLVED</x:v>
      </x:c>
      <x:c r="G256" s="233"/>
      <x:c r="H256" s="233" t="str"/>
      <x:c r="I256" s="233"/>
      <x:c r="J256" s="233" t="str">
        <x:v>PENDING</x:v>
      </x:c>
      <x:c r="K256" s="233" t="str">
        <x:v>Not Exposed</x:v>
      </x:c>
      <x:c r="L256" s="296" t="n">
        <x:v>0.22</x:v>
      </x:c>
      <x:c r="M256" s="296" t="n">
        <x:v>0.08</x:v>
      </x:c>
      <x:c r="N256" s="233" t="n">
        <x:v>0</x:v>
      </x:c>
      <x:c r="O256" s="233" t="str">
        <x:v>DRAFT_ORDINAL_MAPPING</x:v>
      </x:c>
      <x:c r="P256" s="233" t="str">
        <x:v>VERIFIED</x:v>
      </x:c>
      <x:c r="Q256" s="235" t="str"/>
      <x:c r="R256" s="235" t="str"/>
      <x:c r="S256" s="233" t="str">
        <x:v>ILO_SCORE25</x:v>
      </x:c>
      <x:c r="T256" s="233" t="str">
        <x:v>WP140 online Annex, Table A1</x:v>
      </x:c>
      <x:c r="U256" s="235" t="str">
        <x:v>PENDING</x:v>
      </x:c>
      <x:c r="V256" s="235" t="str">
        <x:v>Codex</x:v>
      </x:c>
      <x:c r="W256" s="297" t="str">
        <x:v>KBJI–ISCO belum dipetakan; skor 0–5 adalah transformasi ordinal draft.</x:v>
      </x:c>
    </x:row>
    <x:row r="257">
      <x:c r="A257" s="293" t="str"/>
      <x:c r="B257" s="294" t="str"/>
      <x:c r="C257" s="235" t="str"/>
      <x:c r="D257" s="295" t="str">
        <x:v>3258</x:v>
      </x:c>
      <x:c r="E257" s="233" t="str">
        <x:v>Ambulance Workers</x:v>
      </x:c>
      <x:c r="F257" s="233" t="str">
        <x:v>UNRESOLVED</x:v>
      </x:c>
      <x:c r="G257" s="233"/>
      <x:c r="H257" s="233" t="str"/>
      <x:c r="I257" s="233"/>
      <x:c r="J257" s="233" t="str">
        <x:v>PENDING</x:v>
      </x:c>
      <x:c r="K257" s="233" t="str">
        <x:v>Not Exposed</x:v>
      </x:c>
      <x:c r="L257" s="296" t="n">
        <x:v>0.22</x:v>
      </x:c>
      <x:c r="M257" s="296" t="n">
        <x:v>0.17</x:v>
      </x:c>
      <x:c r="N257" s="233" t="n">
        <x:v>0</x:v>
      </x:c>
      <x:c r="O257" s="233" t="str">
        <x:v>DRAFT_ORDINAL_MAPPING</x:v>
      </x:c>
      <x:c r="P257" s="233" t="str">
        <x:v>VERIFIED</x:v>
      </x:c>
      <x:c r="Q257" s="235" t="str"/>
      <x:c r="R257" s="235" t="str"/>
      <x:c r="S257" s="233" t="str">
        <x:v>ILO_SCORE25</x:v>
      </x:c>
      <x:c r="T257" s="233" t="str">
        <x:v>WP140 online Annex, Table A1</x:v>
      </x:c>
      <x:c r="U257" s="235" t="str">
        <x:v>PENDING</x:v>
      </x:c>
      <x:c r="V257" s="235" t="str">
        <x:v>Codex</x:v>
      </x:c>
      <x:c r="W257" s="297" t="str">
        <x:v>KBJI–ISCO belum dipetakan; skor 0–5 adalah transformasi ordinal draft.</x:v>
      </x:c>
    </x:row>
    <x:row r="258">
      <x:c r="A258" s="293" t="str"/>
      <x:c r="B258" s="294" t="str"/>
      <x:c r="C258" s="235" t="str"/>
      <x:c r="D258" s="295" t="str">
        <x:v>5111</x:v>
      </x:c>
      <x:c r="E258" s="233" t="str">
        <x:v>Travel Attendants and Travel Stewards</x:v>
      </x:c>
      <x:c r="F258" s="233" t="str">
        <x:v>UNRESOLVED</x:v>
      </x:c>
      <x:c r="G258" s="233"/>
      <x:c r="H258" s="233" t="str"/>
      <x:c r="I258" s="233"/>
      <x:c r="J258" s="233" t="str">
        <x:v>PENDING</x:v>
      </x:c>
      <x:c r="K258" s="233" t="str">
        <x:v>Not Exposed</x:v>
      </x:c>
      <x:c r="L258" s="296" t="n">
        <x:v>0.22</x:v>
      </x:c>
      <x:c r="M258" s="296" t="n">
        <x:v>0.1</x:v>
      </x:c>
      <x:c r="N258" s="233" t="n">
        <x:v>0</x:v>
      </x:c>
      <x:c r="O258" s="233" t="str">
        <x:v>DRAFT_ORDINAL_MAPPING</x:v>
      </x:c>
      <x:c r="P258" s="233" t="str">
        <x:v>VERIFIED</x:v>
      </x:c>
      <x:c r="Q258" s="235" t="str"/>
      <x:c r="R258" s="235" t="str"/>
      <x:c r="S258" s="233" t="str">
        <x:v>ILO_SCORE25</x:v>
      </x:c>
      <x:c r="T258" s="233" t="str">
        <x:v>WP140 online Annex, Table A1</x:v>
      </x:c>
      <x:c r="U258" s="235" t="str">
        <x:v>PENDING</x:v>
      </x:c>
      <x:c r="V258" s="235" t="str">
        <x:v>Codex</x:v>
      </x:c>
      <x:c r="W258" s="297" t="str">
        <x:v>KBJI–ISCO belum dipetakan; skor 0–5 adalah transformasi ordinal draft.</x:v>
      </x:c>
    </x:row>
    <x:row r="259">
      <x:c r="A259" s="293" t="str"/>
      <x:c r="B259" s="294" t="str"/>
      <x:c r="C259" s="235" t="str"/>
      <x:c r="D259" s="295" t="str">
        <x:v>5151</x:v>
      </x:c>
      <x:c r="E259" s="233" t="str">
        <x:v>Cleaning and Housekeeping Supervisors in Offices, Hotels and Other Establishments</x:v>
      </x:c>
      <x:c r="F259" s="233" t="str">
        <x:v>UNRESOLVED</x:v>
      </x:c>
      <x:c r="G259" s="233"/>
      <x:c r="H259" s="233" t="str"/>
      <x:c r="I259" s="233"/>
      <x:c r="J259" s="233" t="str">
        <x:v>PENDING</x:v>
      </x:c>
      <x:c r="K259" s="233" t="str">
        <x:v>Not Exposed</x:v>
      </x:c>
      <x:c r="L259" s="296" t="n">
        <x:v>0.22</x:v>
      </x:c>
      <x:c r="M259" s="296" t="n">
        <x:v>0.1</x:v>
      </x:c>
      <x:c r="N259" s="233" t="n">
        <x:v>0</x:v>
      </x:c>
      <x:c r="O259" s="233" t="str">
        <x:v>DRAFT_ORDINAL_MAPPING</x:v>
      </x:c>
      <x:c r="P259" s="233" t="str">
        <x:v>VERIFIED</x:v>
      </x:c>
      <x:c r="Q259" s="235" t="str"/>
      <x:c r="R259" s="235" t="str"/>
      <x:c r="S259" s="233" t="str">
        <x:v>ILO_SCORE25</x:v>
      </x:c>
      <x:c r="T259" s="233" t="str">
        <x:v>WP140 online Annex, Table A1</x:v>
      </x:c>
      <x:c r="U259" s="235" t="str">
        <x:v>PENDING</x:v>
      </x:c>
      <x:c r="V259" s="235" t="str">
        <x:v>Codex</x:v>
      </x:c>
      <x:c r="W259" s="297" t="str">
        <x:v>KBJI–ISCO belum dipetakan; skor 0–5 adalah transformasi ordinal draft.</x:v>
      </x:c>
    </x:row>
    <x:row r="260">
      <x:c r="A260" s="293" t="str"/>
      <x:c r="B260" s="294" t="str"/>
      <x:c r="C260" s="235" t="str"/>
      <x:c r="D260" s="295" t="str">
        <x:v>5162</x:v>
      </x:c>
      <x:c r="E260" s="233" t="str">
        <x:v>Companions and Valets</x:v>
      </x:c>
      <x:c r="F260" s="233" t="str">
        <x:v>UNRESOLVED</x:v>
      </x:c>
      <x:c r="G260" s="233"/>
      <x:c r="H260" s="233" t="str"/>
      <x:c r="I260" s="233"/>
      <x:c r="J260" s="233" t="str">
        <x:v>PENDING</x:v>
      </x:c>
      <x:c r="K260" s="233" t="str">
        <x:v>Not Exposed</x:v>
      </x:c>
      <x:c r="L260" s="296" t="n">
        <x:v>0.22</x:v>
      </x:c>
      <x:c r="M260" s="296" t="n">
        <x:v>0.05</x:v>
      </x:c>
      <x:c r="N260" s="233" t="n">
        <x:v>0</x:v>
      </x:c>
      <x:c r="O260" s="233" t="str">
        <x:v>DRAFT_ORDINAL_MAPPING</x:v>
      </x:c>
      <x:c r="P260" s="233" t="str">
        <x:v>VERIFIED</x:v>
      </x:c>
      <x:c r="Q260" s="235" t="str"/>
      <x:c r="R260" s="235" t="str"/>
      <x:c r="S260" s="233" t="str">
        <x:v>ILO_SCORE25</x:v>
      </x:c>
      <x:c r="T260" s="233" t="str">
        <x:v>WP140 online Annex, Table A1</x:v>
      </x:c>
      <x:c r="U260" s="235" t="str">
        <x:v>PENDING</x:v>
      </x:c>
      <x:c r="V260" s="235" t="str">
        <x:v>Codex</x:v>
      </x:c>
      <x:c r="W260" s="297" t="str">
        <x:v>KBJI–ISCO belum dipetakan; skor 0–5 adalah transformasi ordinal draft.</x:v>
      </x:c>
    </x:row>
    <x:row r="261">
      <x:c r="A261" s="293" t="str"/>
      <x:c r="B261" s="294" t="str"/>
      <x:c r="C261" s="235" t="str"/>
      <x:c r="D261" s="295" t="str">
        <x:v>5212</x:v>
      </x:c>
      <x:c r="E261" s="233" t="str">
        <x:v>Street Food Salespersons</x:v>
      </x:c>
      <x:c r="F261" s="233" t="str">
        <x:v>UNRESOLVED</x:v>
      </x:c>
      <x:c r="G261" s="233"/>
      <x:c r="H261" s="233" t="str"/>
      <x:c r="I261" s="233"/>
      <x:c r="J261" s="233" t="str">
        <x:v>PENDING</x:v>
      </x:c>
      <x:c r="K261" s="233" t="str">
        <x:v>Not Exposed</x:v>
      </x:c>
      <x:c r="L261" s="296" t="n">
        <x:v>0.22</x:v>
      </x:c>
      <x:c r="M261" s="296" t="n">
        <x:v>0.11</x:v>
      </x:c>
      <x:c r="N261" s="233" t="n">
        <x:v>0</x:v>
      </x:c>
      <x:c r="O261" s="233" t="str">
        <x:v>DRAFT_ORDINAL_MAPPING</x:v>
      </x:c>
      <x:c r="P261" s="233" t="str">
        <x:v>VERIFIED</x:v>
      </x:c>
      <x:c r="Q261" s="235" t="str"/>
      <x:c r="R261" s="235" t="str"/>
      <x:c r="S261" s="233" t="str">
        <x:v>ILO_SCORE25</x:v>
      </x:c>
      <x:c r="T261" s="233" t="str">
        <x:v>WP140 online Annex, Table A1</x:v>
      </x:c>
      <x:c r="U261" s="235" t="str">
        <x:v>PENDING</x:v>
      </x:c>
      <x:c r="V261" s="235" t="str">
        <x:v>Codex</x:v>
      </x:c>
      <x:c r="W261" s="297" t="str">
        <x:v>KBJI–ISCO belum dipetakan; skor 0–5 adalah transformasi ordinal draft.</x:v>
      </x:c>
    </x:row>
    <x:row r="262">
      <x:c r="A262" s="293" t="str"/>
      <x:c r="B262" s="294" t="str"/>
      <x:c r="C262" s="235" t="str"/>
      <x:c r="D262" s="295" t="str">
        <x:v>6123</x:v>
      </x:c>
      <x:c r="E262" s="233" t="str">
        <x:v>Apiarists and Sericulturists</x:v>
      </x:c>
      <x:c r="F262" s="233" t="str">
        <x:v>UNRESOLVED</x:v>
      </x:c>
      <x:c r="G262" s="233"/>
      <x:c r="H262" s="233" t="str"/>
      <x:c r="I262" s="233"/>
      <x:c r="J262" s="233" t="str">
        <x:v>PENDING</x:v>
      </x:c>
      <x:c r="K262" s="233" t="str">
        <x:v>Not Exposed</x:v>
      </x:c>
      <x:c r="L262" s="296" t="n">
        <x:v>0.22</x:v>
      </x:c>
      <x:c r="M262" s="296" t="n">
        <x:v>0.11</x:v>
      </x:c>
      <x:c r="N262" s="233" t="n">
        <x:v>0</x:v>
      </x:c>
      <x:c r="O262" s="233" t="str">
        <x:v>DRAFT_ORDINAL_MAPPING</x:v>
      </x:c>
      <x:c r="P262" s="233" t="str">
        <x:v>VERIFIED</x:v>
      </x:c>
      <x:c r="Q262" s="235" t="str"/>
      <x:c r="R262" s="235" t="str"/>
      <x:c r="S262" s="233" t="str">
        <x:v>ILO_SCORE25</x:v>
      </x:c>
      <x:c r="T262" s="233" t="str">
        <x:v>WP140 online Annex, Table A1</x:v>
      </x:c>
      <x:c r="U262" s="235" t="str">
        <x:v>PENDING</x:v>
      </x:c>
      <x:c r="V262" s="235" t="str">
        <x:v>Codex</x:v>
      </x:c>
      <x:c r="W262" s="297" t="str">
        <x:v>KBJI–ISCO belum dipetakan; skor 0–5 adalah transformasi ordinal draft.</x:v>
      </x:c>
    </x:row>
    <x:row r="263">
      <x:c r="A263" s="293" t="str"/>
      <x:c r="B263" s="294" t="str"/>
      <x:c r="C263" s="235" t="str"/>
      <x:c r="D263" s="295" t="str">
        <x:v>6221</x:v>
      </x:c>
      <x:c r="E263" s="233" t="str">
        <x:v>Aquaculture Workers</x:v>
      </x:c>
      <x:c r="F263" s="233" t="str">
        <x:v>UNRESOLVED</x:v>
      </x:c>
      <x:c r="G263" s="233"/>
      <x:c r="H263" s="233" t="str"/>
      <x:c r="I263" s="233"/>
      <x:c r="J263" s="233" t="str">
        <x:v>PENDING</x:v>
      </x:c>
      <x:c r="K263" s="233" t="str">
        <x:v>Not Exposed</x:v>
      </x:c>
      <x:c r="L263" s="296" t="n">
        <x:v>0.22</x:v>
      </x:c>
      <x:c r="M263" s="296" t="n">
        <x:v>0.15</x:v>
      </x:c>
      <x:c r="N263" s="233" t="n">
        <x:v>0</x:v>
      </x:c>
      <x:c r="O263" s="233" t="str">
        <x:v>DRAFT_ORDINAL_MAPPING</x:v>
      </x:c>
      <x:c r="P263" s="233" t="str">
        <x:v>VERIFIED</x:v>
      </x:c>
      <x:c r="Q263" s="235" t="str"/>
      <x:c r="R263" s="235" t="str"/>
      <x:c r="S263" s="233" t="str">
        <x:v>ILO_SCORE25</x:v>
      </x:c>
      <x:c r="T263" s="233" t="str">
        <x:v>WP140 online Annex, Table A1</x:v>
      </x:c>
      <x:c r="U263" s="235" t="str">
        <x:v>PENDING</x:v>
      </x:c>
      <x:c r="V263" s="235" t="str">
        <x:v>Codex</x:v>
      </x:c>
      <x:c r="W263" s="297" t="str">
        <x:v>KBJI–ISCO belum dipetakan; skor 0–5 adalah transformasi ordinal draft.</x:v>
      </x:c>
    </x:row>
    <x:row r="264">
      <x:c r="A264" s="293" t="str"/>
      <x:c r="B264" s="294" t="str"/>
      <x:c r="C264" s="235" t="str"/>
      <x:c r="D264" s="295" t="str">
        <x:v>7323</x:v>
      </x:c>
      <x:c r="E264" s="233" t="str">
        <x:v>Print Finishing and Binding Workers</x:v>
      </x:c>
      <x:c r="F264" s="233" t="str">
        <x:v>UNRESOLVED</x:v>
      </x:c>
      <x:c r="G264" s="233"/>
      <x:c r="H264" s="233" t="str"/>
      <x:c r="I264" s="233"/>
      <x:c r="J264" s="233" t="str">
        <x:v>PENDING</x:v>
      </x:c>
      <x:c r="K264" s="233" t="str">
        <x:v>Not Exposed</x:v>
      </x:c>
      <x:c r="L264" s="296" t="n">
        <x:v>0.22</x:v>
      </x:c>
      <x:c r="M264" s="296" t="n">
        <x:v>0.09</x:v>
      </x:c>
      <x:c r="N264" s="233" t="n">
        <x:v>0</x:v>
      </x:c>
      <x:c r="O264" s="233" t="str">
        <x:v>DRAFT_ORDINAL_MAPPING</x:v>
      </x:c>
      <x:c r="P264" s="233" t="str">
        <x:v>VERIFIED</x:v>
      </x:c>
      <x:c r="Q264" s="235" t="str"/>
      <x:c r="R264" s="235" t="str"/>
      <x:c r="S264" s="233" t="str">
        <x:v>ILO_SCORE25</x:v>
      </x:c>
      <x:c r="T264" s="233" t="str">
        <x:v>WP140 online Annex, Table A1</x:v>
      </x:c>
      <x:c r="U264" s="235" t="str">
        <x:v>PENDING</x:v>
      </x:c>
      <x:c r="V264" s="235" t="str">
        <x:v>Codex</x:v>
      </x:c>
      <x:c r="W264" s="297" t="str">
        <x:v>KBJI–ISCO belum dipetakan; skor 0–5 adalah transformasi ordinal draft.</x:v>
      </x:c>
    </x:row>
    <x:row r="265">
      <x:c r="A265" s="293" t="str"/>
      <x:c r="B265" s="294" t="str"/>
      <x:c r="C265" s="235" t="str"/>
      <x:c r="D265" s="295" t="str">
        <x:v>7513</x:v>
      </x:c>
      <x:c r="E265" s="233" t="str">
        <x:v>Dairy Products Makers</x:v>
      </x:c>
      <x:c r="F265" s="233" t="str">
        <x:v>UNRESOLVED</x:v>
      </x:c>
      <x:c r="G265" s="233"/>
      <x:c r="H265" s="233" t="str"/>
      <x:c r="I265" s="233"/>
      <x:c r="J265" s="233" t="str">
        <x:v>PENDING</x:v>
      </x:c>
      <x:c r="K265" s="233" t="str">
        <x:v>Not Exposed</x:v>
      </x:c>
      <x:c r="L265" s="296" t="n">
        <x:v>0.22</x:v>
      </x:c>
      <x:c r="M265" s="296" t="n">
        <x:v>0.17</x:v>
      </x:c>
      <x:c r="N265" s="233" t="n">
        <x:v>0</x:v>
      </x:c>
      <x:c r="O265" s="233" t="str">
        <x:v>DRAFT_ORDINAL_MAPPING</x:v>
      </x:c>
      <x:c r="P265" s="233" t="str">
        <x:v>VERIFIED</x:v>
      </x:c>
      <x:c r="Q265" s="235" t="str"/>
      <x:c r="R265" s="235" t="str"/>
      <x:c r="S265" s="233" t="str">
        <x:v>ILO_SCORE25</x:v>
      </x:c>
      <x:c r="T265" s="233" t="str">
        <x:v>WP140 online Annex, Table A1</x:v>
      </x:c>
      <x:c r="U265" s="235" t="str">
        <x:v>PENDING</x:v>
      </x:c>
      <x:c r="V265" s="235" t="str">
        <x:v>Codex</x:v>
      </x:c>
      <x:c r="W265" s="297" t="str">
        <x:v>KBJI–ISCO belum dipetakan; skor 0–5 adalah transformasi ordinal draft.</x:v>
      </x:c>
    </x:row>
    <x:row r="266">
      <x:c r="A266" s="293" t="str"/>
      <x:c r="B266" s="294" t="str"/>
      <x:c r="C266" s="235" t="str"/>
      <x:c r="D266" s="295" t="str">
        <x:v>7521</x:v>
      </x:c>
      <x:c r="E266" s="233" t="str">
        <x:v>Wood Treaters</x:v>
      </x:c>
      <x:c r="F266" s="233" t="str">
        <x:v>UNRESOLVED</x:v>
      </x:c>
      <x:c r="G266" s="233"/>
      <x:c r="H266" s="233" t="str"/>
      <x:c r="I266" s="233"/>
      <x:c r="J266" s="233" t="str">
        <x:v>PENDING</x:v>
      </x:c>
      <x:c r="K266" s="233" t="str">
        <x:v>Not Exposed</x:v>
      </x:c>
      <x:c r="L266" s="296" t="n">
        <x:v>0.22</x:v>
      </x:c>
      <x:c r="M266" s="296" t="n">
        <x:v>0.15</x:v>
      </x:c>
      <x:c r="N266" s="233" t="n">
        <x:v>0</x:v>
      </x:c>
      <x:c r="O266" s="233" t="str">
        <x:v>DRAFT_ORDINAL_MAPPING</x:v>
      </x:c>
      <x:c r="P266" s="233" t="str">
        <x:v>VERIFIED</x:v>
      </x:c>
      <x:c r="Q266" s="235" t="str"/>
      <x:c r="R266" s="235" t="str"/>
      <x:c r="S266" s="233" t="str">
        <x:v>ILO_SCORE25</x:v>
      </x:c>
      <x:c r="T266" s="233" t="str">
        <x:v>WP140 online Annex, Table A1</x:v>
      </x:c>
      <x:c r="U266" s="235" t="str">
        <x:v>PENDING</x:v>
      </x:c>
      <x:c r="V266" s="235" t="str">
        <x:v>Codex</x:v>
      </x:c>
      <x:c r="W266" s="297" t="str">
        <x:v>KBJI–ISCO belum dipetakan; skor 0–5 adalah transformasi ordinal draft.</x:v>
      </x:c>
    </x:row>
    <x:row r="267">
      <x:c r="A267" s="293" t="str"/>
      <x:c r="B267" s="294" t="str"/>
      <x:c r="C267" s="235" t="str"/>
      <x:c r="D267" s="295" t="str">
        <x:v>7523</x:v>
      </x:c>
      <x:c r="E267" s="233" t="str">
        <x:v>Woodworking Machine Tool Setters and Operators</x:v>
      </x:c>
      <x:c r="F267" s="233" t="str">
        <x:v>UNRESOLVED</x:v>
      </x:c>
      <x:c r="G267" s="233"/>
      <x:c r="H267" s="233" t="str"/>
      <x:c r="I267" s="233"/>
      <x:c r="J267" s="233" t="str">
        <x:v>PENDING</x:v>
      </x:c>
      <x:c r="K267" s="233" t="str">
        <x:v>Not Exposed</x:v>
      </x:c>
      <x:c r="L267" s="296" t="n">
        <x:v>0.22</x:v>
      </x:c>
      <x:c r="M267" s="296" t="n">
        <x:v>0.16</x:v>
      </x:c>
      <x:c r="N267" s="233" t="n">
        <x:v>0</x:v>
      </x:c>
      <x:c r="O267" s="233" t="str">
        <x:v>DRAFT_ORDINAL_MAPPING</x:v>
      </x:c>
      <x:c r="P267" s="233" t="str">
        <x:v>VERIFIED</x:v>
      </x:c>
      <x:c r="Q267" s="235" t="str"/>
      <x:c r="R267" s="235" t="str"/>
      <x:c r="S267" s="233" t="str">
        <x:v>ILO_SCORE25</x:v>
      </x:c>
      <x:c r="T267" s="233" t="str">
        <x:v>WP140 online Annex, Table A1</x:v>
      </x:c>
      <x:c r="U267" s="235" t="str">
        <x:v>PENDING</x:v>
      </x:c>
      <x:c r="V267" s="235" t="str">
        <x:v>Codex</x:v>
      </x:c>
      <x:c r="W267" s="297" t="str">
        <x:v>KBJI–ISCO belum dipetakan; skor 0–5 adalah transformasi ordinal draft.</x:v>
      </x:c>
    </x:row>
    <x:row r="268">
      <x:c r="A268" s="293" t="str"/>
      <x:c r="B268" s="294" t="str"/>
      <x:c r="C268" s="235" t="str"/>
      <x:c r="D268" s="295" t="str">
        <x:v>8183</x:v>
      </x:c>
      <x:c r="E268" s="233" t="str">
        <x:v>Packing, Bottling and Labelling Machine Operators</x:v>
      </x:c>
      <x:c r="F268" s="233" t="str">
        <x:v>UNRESOLVED</x:v>
      </x:c>
      <x:c r="G268" s="233"/>
      <x:c r="H268" s="233" t="str"/>
      <x:c r="I268" s="233"/>
      <x:c r="J268" s="233" t="str">
        <x:v>PENDING</x:v>
      </x:c>
      <x:c r="K268" s="233" t="str">
        <x:v>Not Exposed</x:v>
      </x:c>
      <x:c r="L268" s="296" t="n">
        <x:v>0.22</x:v>
      </x:c>
      <x:c r="M268" s="296" t="n">
        <x:v>0.01</x:v>
      </x:c>
      <x:c r="N268" s="233" t="n">
        <x:v>0</x:v>
      </x:c>
      <x:c r="O268" s="233" t="str">
        <x:v>DRAFT_ORDINAL_MAPPING</x:v>
      </x:c>
      <x:c r="P268" s="233" t="str">
        <x:v>VERIFIED</x:v>
      </x:c>
      <x:c r="Q268" s="235" t="str"/>
      <x:c r="R268" s="235" t="str"/>
      <x:c r="S268" s="233" t="str">
        <x:v>ILO_SCORE25</x:v>
      </x:c>
      <x:c r="T268" s="233" t="str">
        <x:v>WP140 online Annex, Table A1</x:v>
      </x:c>
      <x:c r="U268" s="235" t="str">
        <x:v>PENDING</x:v>
      </x:c>
      <x:c r="V268" s="235" t="str">
        <x:v>Codex</x:v>
      </x:c>
      <x:c r="W268" s="297" t="str">
        <x:v>KBJI–ISCO belum dipetakan; skor 0–5 adalah transformasi ordinal draft.</x:v>
      </x:c>
    </x:row>
    <x:row r="269">
      <x:c r="A269" s="293" t="str"/>
      <x:c r="B269" s="294" t="str"/>
      <x:c r="C269" s="235" t="str"/>
      <x:c r="D269" s="295" t="str">
        <x:v>2342</x:v>
      </x:c>
      <x:c r="E269" s="233" t="str">
        <x:v>Early Childhood Educators</x:v>
      </x:c>
      <x:c r="F269" s="233" t="str">
        <x:v>UNRESOLVED</x:v>
      </x:c>
      <x:c r="G269" s="233"/>
      <x:c r="H269" s="233" t="str"/>
      <x:c r="I269" s="233"/>
      <x:c r="J269" s="233" t="str">
        <x:v>PENDING</x:v>
      </x:c>
      <x:c r="K269" s="233" t="str">
        <x:v>Not Exposed</x:v>
      </x:c>
      <x:c r="L269" s="296" t="n">
        <x:v>0.21</x:v>
      </x:c>
      <x:c r="M269" s="296" t="n">
        <x:v>0.05</x:v>
      </x:c>
      <x:c r="N269" s="233" t="n">
        <x:v>0</x:v>
      </x:c>
      <x:c r="O269" s="233" t="str">
        <x:v>DRAFT_ORDINAL_MAPPING</x:v>
      </x:c>
      <x:c r="P269" s="233" t="str">
        <x:v>VERIFIED</x:v>
      </x:c>
      <x:c r="Q269" s="235" t="str"/>
      <x:c r="R269" s="235" t="str"/>
      <x:c r="S269" s="233" t="str">
        <x:v>ILO_SCORE25</x:v>
      </x:c>
      <x:c r="T269" s="233" t="str">
        <x:v>WP140 online Annex, Table A1</x:v>
      </x:c>
      <x:c r="U269" s="235" t="str">
        <x:v>PENDING</x:v>
      </x:c>
      <x:c r="V269" s="235" t="str">
        <x:v>Codex</x:v>
      </x:c>
      <x:c r="W269" s="297" t="str">
        <x:v>KBJI–ISCO belum dipetakan; skor 0–5 adalah transformasi ordinal draft.</x:v>
      </x:c>
    </x:row>
    <x:row r="270">
      <x:c r="A270" s="293" t="str"/>
      <x:c r="B270" s="294" t="str"/>
      <x:c r="C270" s="235" t="str"/>
      <x:c r="D270" s="295" t="str">
        <x:v>2651</x:v>
      </x:c>
      <x:c r="E270" s="233" t="str">
        <x:v>Visual Artists</x:v>
      </x:c>
      <x:c r="F270" s="233" t="str">
        <x:v>UNRESOLVED</x:v>
      </x:c>
      <x:c r="G270" s="233"/>
      <x:c r="H270" s="233" t="str"/>
      <x:c r="I270" s="233"/>
      <x:c r="J270" s="233" t="str">
        <x:v>PENDING</x:v>
      </x:c>
      <x:c r="K270" s="233" t="str">
        <x:v>Not Exposed</x:v>
      </x:c>
      <x:c r="L270" s="296" t="n">
        <x:v>0.21</x:v>
      </x:c>
      <x:c r="M270" s="296" t="n">
        <x:v>0.04</x:v>
      </x:c>
      <x:c r="N270" s="233" t="n">
        <x:v>0</x:v>
      </x:c>
      <x:c r="O270" s="233" t="str">
        <x:v>DRAFT_ORDINAL_MAPPING</x:v>
      </x:c>
      <x:c r="P270" s="233" t="str">
        <x:v>VERIFIED</x:v>
      </x:c>
      <x:c r="Q270" s="235" t="str"/>
      <x:c r="R270" s="235" t="str"/>
      <x:c r="S270" s="233" t="str">
        <x:v>ILO_SCORE25</x:v>
      </x:c>
      <x:c r="T270" s="233" t="str">
        <x:v>WP140 online Annex, Table A1</x:v>
      </x:c>
      <x:c r="U270" s="235" t="str">
        <x:v>PENDING</x:v>
      </x:c>
      <x:c r="V270" s="235" t="str">
        <x:v>Codex</x:v>
      </x:c>
      <x:c r="W270" s="297" t="str">
        <x:v>KBJI–ISCO belum dipetakan; skor 0–5 adalah transformasi ordinal draft.</x:v>
      </x:c>
    </x:row>
    <x:row r="271">
      <x:c r="A271" s="293" t="str"/>
      <x:c r="B271" s="294" t="str"/>
      <x:c r="C271" s="235" t="str"/>
      <x:c r="D271" s="295" t="str">
        <x:v>3143</x:v>
      </x:c>
      <x:c r="E271" s="233" t="str">
        <x:v>Forestry Technicians</x:v>
      </x:c>
      <x:c r="F271" s="233" t="str">
        <x:v>UNRESOLVED</x:v>
      </x:c>
      <x:c r="G271" s="233"/>
      <x:c r="H271" s="233" t="str"/>
      <x:c r="I271" s="233"/>
      <x:c r="J271" s="233" t="str">
        <x:v>PENDING</x:v>
      </x:c>
      <x:c r="K271" s="233" t="str">
        <x:v>Not Exposed</x:v>
      </x:c>
      <x:c r="L271" s="296" t="n">
        <x:v>0.21</x:v>
      </x:c>
      <x:c r="M271" s="296" t="n">
        <x:v>0.07</x:v>
      </x:c>
      <x:c r="N271" s="233" t="n">
        <x:v>0</x:v>
      </x:c>
      <x:c r="O271" s="233" t="str">
        <x:v>DRAFT_ORDINAL_MAPPING</x:v>
      </x:c>
      <x:c r="P271" s="233" t="str">
        <x:v>VERIFIED</x:v>
      </x:c>
      <x:c r="Q271" s="235" t="str"/>
      <x:c r="R271" s="235" t="str"/>
      <x:c r="S271" s="233" t="str">
        <x:v>ILO_SCORE25</x:v>
      </x:c>
      <x:c r="T271" s="233" t="str">
        <x:v>WP140 online Annex, Table A1</x:v>
      </x:c>
      <x:c r="U271" s="235" t="str">
        <x:v>PENDING</x:v>
      </x:c>
      <x:c r="V271" s="235" t="str">
        <x:v>Codex</x:v>
      </x:c>
      <x:c r="W271" s="297" t="str">
        <x:v>KBJI–ISCO belum dipetakan; skor 0–5 adalah transformasi ordinal draft.</x:v>
      </x:c>
    </x:row>
    <x:row r="272">
      <x:c r="A272" s="293" t="str"/>
      <x:c r="B272" s="294" t="str"/>
      <x:c r="C272" s="235" t="str"/>
      <x:c r="D272" s="295" t="str">
        <x:v>5169</x:v>
      </x:c>
      <x:c r="E272" s="233" t="str">
        <x:v>Personal Services Workers Not Elsewhere Classified</x:v>
      </x:c>
      <x:c r="F272" s="233" t="str">
        <x:v>UNRESOLVED</x:v>
      </x:c>
      <x:c r="G272" s="233"/>
      <x:c r="H272" s="233" t="str"/>
      <x:c r="I272" s="233"/>
      <x:c r="J272" s="233" t="str">
        <x:v>PENDING</x:v>
      </x:c>
      <x:c r="K272" s="233" t="str">
        <x:v>Not Exposed</x:v>
      </x:c>
      <x:c r="L272" s="296" t="n">
        <x:v>0.21</x:v>
      </x:c>
      <x:c r="M272" s="296" t="n">
        <x:v>0.07</x:v>
      </x:c>
      <x:c r="N272" s="233" t="n">
        <x:v>0</x:v>
      </x:c>
      <x:c r="O272" s="233" t="str">
        <x:v>DRAFT_ORDINAL_MAPPING</x:v>
      </x:c>
      <x:c r="P272" s="233" t="str">
        <x:v>VERIFIED</x:v>
      </x:c>
      <x:c r="Q272" s="235" t="str"/>
      <x:c r="R272" s="235" t="str"/>
      <x:c r="S272" s="233" t="str">
        <x:v>ILO_SCORE25</x:v>
      </x:c>
      <x:c r="T272" s="233" t="str">
        <x:v>WP140 online Annex, Table A1</x:v>
      </x:c>
      <x:c r="U272" s="235" t="str">
        <x:v>PENDING</x:v>
      </x:c>
      <x:c r="V272" s="235" t="str">
        <x:v>Codex</x:v>
      </x:c>
      <x:c r="W272" s="297" t="str">
        <x:v>KBJI–ISCO belum dipetakan; skor 0–5 adalah transformasi ordinal draft.</x:v>
      </x:c>
    </x:row>
    <x:row r="273">
      <x:c r="A273" s="293" t="str"/>
      <x:c r="B273" s="294" t="str"/>
      <x:c r="C273" s="235" t="str"/>
      <x:c r="D273" s="295" t="str">
        <x:v>7127</x:v>
      </x:c>
      <x:c r="E273" s="233" t="str">
        <x:v>Air Conditioning and Refrigeration Mechanics</x:v>
      </x:c>
      <x:c r="F273" s="233" t="str">
        <x:v>UNRESOLVED</x:v>
      </x:c>
      <x:c r="G273" s="233"/>
      <x:c r="H273" s="233" t="str"/>
      <x:c r="I273" s="233"/>
      <x:c r="J273" s="233" t="str">
        <x:v>PENDING</x:v>
      </x:c>
      <x:c r="K273" s="233" t="str">
        <x:v>Not Exposed</x:v>
      </x:c>
      <x:c r="L273" s="296" t="n">
        <x:v>0.21</x:v>
      </x:c>
      <x:c r="M273" s="296" t="n">
        <x:v>0.11</x:v>
      </x:c>
      <x:c r="N273" s="233" t="n">
        <x:v>0</x:v>
      </x:c>
      <x:c r="O273" s="233" t="str">
        <x:v>DRAFT_ORDINAL_MAPPING</x:v>
      </x:c>
      <x:c r="P273" s="233" t="str">
        <x:v>VERIFIED</x:v>
      </x:c>
      <x:c r="Q273" s="235" t="str"/>
      <x:c r="R273" s="235" t="str"/>
      <x:c r="S273" s="233" t="str">
        <x:v>ILO_SCORE25</x:v>
      </x:c>
      <x:c r="T273" s="233" t="str">
        <x:v>WP140 online Annex, Table A1</x:v>
      </x:c>
      <x:c r="U273" s="235" t="str">
        <x:v>PENDING</x:v>
      </x:c>
      <x:c r="V273" s="235" t="str">
        <x:v>Codex</x:v>
      </x:c>
      <x:c r="W273" s="297" t="str">
        <x:v>KBJI–ISCO belum dipetakan; skor 0–5 adalah transformasi ordinal draft.</x:v>
      </x:c>
    </x:row>
    <x:row r="274">
      <x:c r="A274" s="293" t="str"/>
      <x:c r="B274" s="294" t="str"/>
      <x:c r="C274" s="235" t="str"/>
      <x:c r="D274" s="295" t="str">
        <x:v>7213</x:v>
      </x:c>
      <x:c r="E274" s="233" t="str">
        <x:v>Sheet Metal Workers</x:v>
      </x:c>
      <x:c r="F274" s="233" t="str">
        <x:v>UNRESOLVED</x:v>
      </x:c>
      <x:c r="G274" s="233"/>
      <x:c r="H274" s="233" t="str"/>
      <x:c r="I274" s="233"/>
      <x:c r="J274" s="233" t="str">
        <x:v>PENDING</x:v>
      </x:c>
      <x:c r="K274" s="233" t="str">
        <x:v>Not Exposed</x:v>
      </x:c>
      <x:c r="L274" s="296" t="n">
        <x:v>0.21</x:v>
      </x:c>
      <x:c r="M274" s="296" t="n">
        <x:v>0.09</x:v>
      </x:c>
      <x:c r="N274" s="233" t="n">
        <x:v>0</x:v>
      </x:c>
      <x:c r="O274" s="233" t="str">
        <x:v>DRAFT_ORDINAL_MAPPING</x:v>
      </x:c>
      <x:c r="P274" s="233" t="str">
        <x:v>VERIFIED</x:v>
      </x:c>
      <x:c r="Q274" s="235" t="str"/>
      <x:c r="R274" s="235" t="str"/>
      <x:c r="S274" s="233" t="str">
        <x:v>ILO_SCORE25</x:v>
      </x:c>
      <x:c r="T274" s="233" t="str">
        <x:v>WP140 online Annex, Table A1</x:v>
      </x:c>
      <x:c r="U274" s="235" t="str">
        <x:v>PENDING</x:v>
      </x:c>
      <x:c r="V274" s="235" t="str">
        <x:v>Codex</x:v>
      </x:c>
      <x:c r="W274" s="297" t="str">
        <x:v>KBJI–ISCO belum dipetakan; skor 0–5 adalah transformasi ordinal draft.</x:v>
      </x:c>
    </x:row>
    <x:row r="275">
      <x:c r="A275" s="293" t="str"/>
      <x:c r="B275" s="294" t="str"/>
      <x:c r="C275" s="235" t="str"/>
      <x:c r="D275" s="295" t="str">
        <x:v>7311</x:v>
      </x:c>
      <x:c r="E275" s="233" t="str">
        <x:v>Precision-instrument Makers and Repairers</x:v>
      </x:c>
      <x:c r="F275" s="233" t="str">
        <x:v>UNRESOLVED</x:v>
      </x:c>
      <x:c r="G275" s="233"/>
      <x:c r="H275" s="233" t="str"/>
      <x:c r="I275" s="233"/>
      <x:c r="J275" s="233" t="str">
        <x:v>PENDING</x:v>
      </x:c>
      <x:c r="K275" s="233" t="str">
        <x:v>Not Exposed</x:v>
      </x:c>
      <x:c r="L275" s="296" t="n">
        <x:v>0.21</x:v>
      </x:c>
      <x:c r="M275" s="296" t="n">
        <x:v>0.08</x:v>
      </x:c>
      <x:c r="N275" s="233" t="n">
        <x:v>0</x:v>
      </x:c>
      <x:c r="O275" s="233" t="str">
        <x:v>DRAFT_ORDINAL_MAPPING</x:v>
      </x:c>
      <x:c r="P275" s="233" t="str">
        <x:v>VERIFIED</x:v>
      </x:c>
      <x:c r="Q275" s="235" t="str"/>
      <x:c r="R275" s="235" t="str"/>
      <x:c r="S275" s="233" t="str">
        <x:v>ILO_SCORE25</x:v>
      </x:c>
      <x:c r="T275" s="233" t="str">
        <x:v>WP140 online Annex, Table A1</x:v>
      </x:c>
      <x:c r="U275" s="235" t="str">
        <x:v>PENDING</x:v>
      </x:c>
      <x:c r="V275" s="235" t="str">
        <x:v>Codex</x:v>
      </x:c>
      <x:c r="W275" s="297" t="str">
        <x:v>KBJI–ISCO belum dipetakan; skor 0–5 adalah transformasi ordinal draft.</x:v>
      </x:c>
    </x:row>
    <x:row r="276">
      <x:c r="A276" s="293" t="str"/>
      <x:c r="B276" s="294" t="str"/>
      <x:c r="C276" s="235" t="str"/>
      <x:c r="D276" s="295" t="str">
        <x:v>8112</x:v>
      </x:c>
      <x:c r="E276" s="233" t="str">
        <x:v>Mineral and Stone Processing Plant Operators</x:v>
      </x:c>
      <x:c r="F276" s="233" t="str">
        <x:v>UNRESOLVED</x:v>
      </x:c>
      <x:c r="G276" s="233"/>
      <x:c r="H276" s="233" t="str"/>
      <x:c r="I276" s="233"/>
      <x:c r="J276" s="233" t="str">
        <x:v>PENDING</x:v>
      </x:c>
      <x:c r="K276" s="233" t="str">
        <x:v>Not Exposed</x:v>
      </x:c>
      <x:c r="L276" s="296" t="n">
        <x:v>0.21</x:v>
      </x:c>
      <x:c r="M276" s="296" t="n">
        <x:v>0.1</x:v>
      </x:c>
      <x:c r="N276" s="233" t="n">
        <x:v>0</x:v>
      </x:c>
      <x:c r="O276" s="233" t="str">
        <x:v>DRAFT_ORDINAL_MAPPING</x:v>
      </x:c>
      <x:c r="P276" s="233" t="str">
        <x:v>VERIFIED</x:v>
      </x:c>
      <x:c r="Q276" s="235" t="str"/>
      <x:c r="R276" s="235" t="str"/>
      <x:c r="S276" s="233" t="str">
        <x:v>ILO_SCORE25</x:v>
      </x:c>
      <x:c r="T276" s="233" t="str">
        <x:v>WP140 online Annex, Table A1</x:v>
      </x:c>
      <x:c r="U276" s="235" t="str">
        <x:v>PENDING</x:v>
      </x:c>
      <x:c r="V276" s="235" t="str">
        <x:v>Codex</x:v>
      </x:c>
      <x:c r="W276" s="297" t="str">
        <x:v>KBJI–ISCO belum dipetakan; skor 0–5 adalah transformasi ordinal draft.</x:v>
      </x:c>
    </x:row>
    <x:row r="277">
      <x:c r="A277" s="293" t="str"/>
      <x:c r="B277" s="294" t="str"/>
      <x:c r="C277" s="235" t="str"/>
      <x:c r="D277" s="295" t="str">
        <x:v>8154</x:v>
      </x:c>
      <x:c r="E277" s="233" t="str">
        <x:v>Bleaching, Dyeing and Fabric Cleaning Machine Operators</x:v>
      </x:c>
      <x:c r="F277" s="233" t="str">
        <x:v>UNRESOLVED</x:v>
      </x:c>
      <x:c r="G277" s="233"/>
      <x:c r="H277" s="233" t="str"/>
      <x:c r="I277" s="233"/>
      <x:c r="J277" s="233" t="str">
        <x:v>PENDING</x:v>
      </x:c>
      <x:c r="K277" s="233" t="str">
        <x:v>Not Exposed</x:v>
      </x:c>
      <x:c r="L277" s="296" t="n">
        <x:v>0.21</x:v>
      </x:c>
      <x:c r="M277" s="296" t="n">
        <x:v>0.15</x:v>
      </x:c>
      <x:c r="N277" s="233" t="n">
        <x:v>0</x:v>
      </x:c>
      <x:c r="O277" s="233" t="str">
        <x:v>DRAFT_ORDINAL_MAPPING</x:v>
      </x:c>
      <x:c r="P277" s="233" t="str">
        <x:v>VERIFIED</x:v>
      </x:c>
      <x:c r="Q277" s="235" t="str"/>
      <x:c r="R277" s="235" t="str"/>
      <x:c r="S277" s="233" t="str">
        <x:v>ILO_SCORE25</x:v>
      </x:c>
      <x:c r="T277" s="233" t="str">
        <x:v>WP140 online Annex, Table A1</x:v>
      </x:c>
      <x:c r="U277" s="235" t="str">
        <x:v>PENDING</x:v>
      </x:c>
      <x:c r="V277" s="235" t="str">
        <x:v>Codex</x:v>
      </x:c>
      <x:c r="W277" s="297" t="str">
        <x:v>KBJI–ISCO belum dipetakan; skor 0–5 adalah transformasi ordinal draft.</x:v>
      </x:c>
    </x:row>
    <x:row r="278">
      <x:c r="A278" s="293" t="str"/>
      <x:c r="B278" s="294" t="str"/>
      <x:c r="C278" s="235" t="str"/>
      <x:c r="D278" s="295" t="str">
        <x:v>9331</x:v>
      </x:c>
      <x:c r="E278" s="233" t="str">
        <x:v>Hand and Pedal Vehicle Drivers</x:v>
      </x:c>
      <x:c r="F278" s="233" t="str">
        <x:v>UNRESOLVED</x:v>
      </x:c>
      <x:c r="G278" s="233"/>
      <x:c r="H278" s="233" t="str"/>
      <x:c r="I278" s="233"/>
      <x:c r="J278" s="233" t="str">
        <x:v>PENDING</x:v>
      </x:c>
      <x:c r="K278" s="233" t="str">
        <x:v>Not Exposed</x:v>
      </x:c>
      <x:c r="L278" s="296" t="n">
        <x:v>0.21</x:v>
      </x:c>
      <x:c r="M278" s="296" t="n">
        <x:v>0.08</x:v>
      </x:c>
      <x:c r="N278" s="233" t="n">
        <x:v>0</x:v>
      </x:c>
      <x:c r="O278" s="233" t="str">
        <x:v>DRAFT_ORDINAL_MAPPING</x:v>
      </x:c>
      <x:c r="P278" s="233" t="str">
        <x:v>VERIFIED</x:v>
      </x:c>
      <x:c r="Q278" s="235" t="str"/>
      <x:c r="R278" s="235" t="str"/>
      <x:c r="S278" s="233" t="str">
        <x:v>ILO_SCORE25</x:v>
      </x:c>
      <x:c r="T278" s="233" t="str">
        <x:v>WP140 online Annex, Table A1</x:v>
      </x:c>
      <x:c r="U278" s="235" t="str">
        <x:v>PENDING</x:v>
      </x:c>
      <x:c r="V278" s="235" t="str">
        <x:v>Codex</x:v>
      </x:c>
      <x:c r="W278" s="297" t="str">
        <x:v>KBJI–ISCO belum dipetakan; skor 0–5 adalah transformasi ordinal draft.</x:v>
      </x:c>
    </x:row>
    <x:row r="279">
      <x:c r="A279" s="293" t="str"/>
      <x:c r="B279" s="294" t="str"/>
      <x:c r="C279" s="235" t="str"/>
      <x:c r="D279" s="295" t="str">
        <x:v>2269</x:v>
      </x:c>
      <x:c r="E279" s="233" t="str">
        <x:v>Health Professionals Not Elsewhere Classified</x:v>
      </x:c>
      <x:c r="F279" s="233" t="str">
        <x:v>UNRESOLVED</x:v>
      </x:c>
      <x:c r="G279" s="233"/>
      <x:c r="H279" s="233" t="str"/>
      <x:c r="I279" s="233"/>
      <x:c r="J279" s="233" t="str">
        <x:v>PENDING</x:v>
      </x:c>
      <x:c r="K279" s="233" t="str">
        <x:v>Not Exposed</x:v>
      </x:c>
      <x:c r="L279" s="296" t="n">
        <x:v>0.2</x:v>
      </x:c>
      <x:c r="M279" s="296" t="n">
        <x:v>0.08</x:v>
      </x:c>
      <x:c r="N279" s="233" t="n">
        <x:v>0</x:v>
      </x:c>
      <x:c r="O279" s="233" t="str">
        <x:v>DRAFT_ORDINAL_MAPPING</x:v>
      </x:c>
      <x:c r="P279" s="233" t="str">
        <x:v>VERIFIED</x:v>
      </x:c>
      <x:c r="Q279" s="235" t="str"/>
      <x:c r="R279" s="235" t="str"/>
      <x:c r="S279" s="233" t="str">
        <x:v>ILO_SCORE25</x:v>
      </x:c>
      <x:c r="T279" s="233" t="str">
        <x:v>WP140 online Annex, Table A1</x:v>
      </x:c>
      <x:c r="U279" s="235" t="str">
        <x:v>PENDING</x:v>
      </x:c>
      <x:c r="V279" s="235" t="str">
        <x:v>Codex</x:v>
      </x:c>
      <x:c r="W279" s="297" t="str">
        <x:v>KBJI–ISCO belum dipetakan; skor 0–5 adalah transformasi ordinal draft.</x:v>
      </x:c>
    </x:row>
    <x:row r="280">
      <x:c r="A280" s="293" t="str"/>
      <x:c r="B280" s="294" t="str"/>
      <x:c r="C280" s="235" t="str"/>
      <x:c r="D280" s="295" t="str">
        <x:v>3222</x:v>
      </x:c>
      <x:c r="E280" s="233" t="str">
        <x:v>Midwifery Associate Professionals</x:v>
      </x:c>
      <x:c r="F280" s="233" t="str">
        <x:v>UNRESOLVED</x:v>
      </x:c>
      <x:c r="G280" s="233"/>
      <x:c r="H280" s="233" t="str"/>
      <x:c r="I280" s="233"/>
      <x:c r="J280" s="233" t="str">
        <x:v>PENDING</x:v>
      </x:c>
      <x:c r="K280" s="233" t="str">
        <x:v>Not Exposed</x:v>
      </x:c>
      <x:c r="L280" s="296" t="n">
        <x:v>0.2</x:v>
      </x:c>
      <x:c r="M280" s="296" t="n">
        <x:v>0.07</x:v>
      </x:c>
      <x:c r="N280" s="233" t="n">
        <x:v>0</x:v>
      </x:c>
      <x:c r="O280" s="233" t="str">
        <x:v>DRAFT_ORDINAL_MAPPING</x:v>
      </x:c>
      <x:c r="P280" s="233" t="str">
        <x:v>VERIFIED</x:v>
      </x:c>
      <x:c r="Q280" s="235" t="str"/>
      <x:c r="R280" s="235" t="str"/>
      <x:c r="S280" s="233" t="str">
        <x:v>ILO_SCORE25</x:v>
      </x:c>
      <x:c r="T280" s="233" t="str">
        <x:v>WP140 online Annex, Table A1</x:v>
      </x:c>
      <x:c r="U280" s="235" t="str">
        <x:v>PENDING</x:v>
      </x:c>
      <x:c r="V280" s="235" t="str">
        <x:v>Codex</x:v>
      </x:c>
      <x:c r="W280" s="297" t="str">
        <x:v>KBJI–ISCO belum dipetakan; skor 0–5 adalah transformasi ordinal draft.</x:v>
      </x:c>
    </x:row>
    <x:row r="281">
      <x:c r="A281" s="293" t="str"/>
      <x:c r="B281" s="294" t="str"/>
      <x:c r="C281" s="235" t="str"/>
      <x:c r="D281" s="295" t="str">
        <x:v>5152</x:v>
      </x:c>
      <x:c r="E281" s="233" t="str">
        <x:v>Domestic Housekeepers</x:v>
      </x:c>
      <x:c r="F281" s="233" t="str">
        <x:v>UNRESOLVED</x:v>
      </x:c>
      <x:c r="G281" s="233"/>
      <x:c r="H281" s="233" t="str"/>
      <x:c r="I281" s="233"/>
      <x:c r="J281" s="233" t="str">
        <x:v>PENDING</x:v>
      </x:c>
      <x:c r="K281" s="233" t="str">
        <x:v>Not Exposed</x:v>
      </x:c>
      <x:c r="L281" s="296" t="n">
        <x:v>0.2</x:v>
      </x:c>
      <x:c r="M281" s="296" t="n">
        <x:v>0.1</x:v>
      </x:c>
      <x:c r="N281" s="233" t="n">
        <x:v>0</x:v>
      </x:c>
      <x:c r="O281" s="233" t="str">
        <x:v>DRAFT_ORDINAL_MAPPING</x:v>
      </x:c>
      <x:c r="P281" s="233" t="str">
        <x:v>VERIFIED</x:v>
      </x:c>
      <x:c r="Q281" s="235" t="str"/>
      <x:c r="R281" s="235" t="str"/>
      <x:c r="S281" s="233" t="str">
        <x:v>ILO_SCORE25</x:v>
      </x:c>
      <x:c r="T281" s="233" t="str">
        <x:v>WP140 online Annex, Table A1</x:v>
      </x:c>
      <x:c r="U281" s="235" t="str">
        <x:v>PENDING</x:v>
      </x:c>
      <x:c r="V281" s="235" t="str">
        <x:v>Codex</x:v>
      </x:c>
      <x:c r="W281" s="297" t="str">
        <x:v>KBJI–ISCO belum dipetakan; skor 0–5 adalah transformasi ordinal draft.</x:v>
      </x:c>
    </x:row>
    <x:row r="282">
      <x:c r="A282" s="293" t="str"/>
      <x:c r="B282" s="294" t="str"/>
      <x:c r="C282" s="235" t="str"/>
      <x:c r="D282" s="295" t="str">
        <x:v>5165</x:v>
      </x:c>
      <x:c r="E282" s="233" t="str">
        <x:v>Driving Instructors</x:v>
      </x:c>
      <x:c r="F282" s="233" t="str">
        <x:v>UNRESOLVED</x:v>
      </x:c>
      <x:c r="G282" s="233"/>
      <x:c r="H282" s="233" t="str"/>
      <x:c r="I282" s="233"/>
      <x:c r="J282" s="233" t="str">
        <x:v>PENDING</x:v>
      </x:c>
      <x:c r="K282" s="233" t="str">
        <x:v>Not Exposed</x:v>
      </x:c>
      <x:c r="L282" s="296" t="n">
        <x:v>0.2</x:v>
      </x:c>
      <x:c r="M282" s="296" t="n">
        <x:v>0.03</x:v>
      </x:c>
      <x:c r="N282" s="233" t="n">
        <x:v>0</x:v>
      </x:c>
      <x:c r="O282" s="233" t="str">
        <x:v>DRAFT_ORDINAL_MAPPING</x:v>
      </x:c>
      <x:c r="P282" s="233" t="str">
        <x:v>VERIFIED</x:v>
      </x:c>
      <x:c r="Q282" s="235" t="str"/>
      <x:c r="R282" s="235" t="str"/>
      <x:c r="S282" s="233" t="str">
        <x:v>ILO_SCORE25</x:v>
      </x:c>
      <x:c r="T282" s="233" t="str">
        <x:v>WP140 online Annex, Table A1</x:v>
      </x:c>
      <x:c r="U282" s="235" t="str">
        <x:v>PENDING</x:v>
      </x:c>
      <x:c r="V282" s="235" t="str">
        <x:v>Codex</x:v>
      </x:c>
      <x:c r="W282" s="297" t="str">
        <x:v>KBJI–ISCO belum dipetakan; skor 0–5 adalah transformasi ordinal draft.</x:v>
      </x:c>
    </x:row>
    <x:row r="283">
      <x:c r="A283" s="293" t="str"/>
      <x:c r="B283" s="294" t="str"/>
      <x:c r="C283" s="235" t="str"/>
      <x:c r="D283" s="295" t="str">
        <x:v>5414</x:v>
      </x:c>
      <x:c r="E283" s="233" t="str">
        <x:v>Security Guards</x:v>
      </x:c>
      <x:c r="F283" s="233" t="str">
        <x:v>UNRESOLVED</x:v>
      </x:c>
      <x:c r="G283" s="233"/>
      <x:c r="H283" s="233" t="str"/>
      <x:c r="I283" s="233"/>
      <x:c r="J283" s="233" t="str">
        <x:v>PENDING</x:v>
      </x:c>
      <x:c r="K283" s="233" t="str">
        <x:v>Not Exposed</x:v>
      </x:c>
      <x:c r="L283" s="296" t="n">
        <x:v>0.2</x:v>
      </x:c>
      <x:c r="M283" s="296" t="n">
        <x:v>0.09</x:v>
      </x:c>
      <x:c r="N283" s="233" t="n">
        <x:v>0</x:v>
      </x:c>
      <x:c r="O283" s="233" t="str">
        <x:v>DRAFT_ORDINAL_MAPPING</x:v>
      </x:c>
      <x:c r="P283" s="233" t="str">
        <x:v>VERIFIED</x:v>
      </x:c>
      <x:c r="Q283" s="235" t="str"/>
      <x:c r="R283" s="235" t="str"/>
      <x:c r="S283" s="233" t="str">
        <x:v>ILO_SCORE25</x:v>
      </x:c>
      <x:c r="T283" s="233" t="str">
        <x:v>WP140 online Annex, Table A1</x:v>
      </x:c>
      <x:c r="U283" s="235" t="str">
        <x:v>PENDING</x:v>
      </x:c>
      <x:c r="V283" s="235" t="str">
        <x:v>Codex</x:v>
      </x:c>
      <x:c r="W283" s="297" t="str">
        <x:v>KBJI–ISCO belum dipetakan; skor 0–5 adalah transformasi ordinal draft.</x:v>
      </x:c>
    </x:row>
    <x:row r="284">
      <x:c r="A284" s="293" t="str"/>
      <x:c r="B284" s="294" t="str"/>
      <x:c r="C284" s="235" t="str"/>
      <x:c r="D284" s="295" t="str">
        <x:v>5419</x:v>
      </x:c>
      <x:c r="E284" s="233" t="str">
        <x:v>Protective Services Workers Not Elsewhere Classified</x:v>
      </x:c>
      <x:c r="F284" s="233" t="str">
        <x:v>UNRESOLVED</x:v>
      </x:c>
      <x:c r="G284" s="233"/>
      <x:c r="H284" s="233" t="str"/>
      <x:c r="I284" s="233"/>
      <x:c r="J284" s="233" t="str">
        <x:v>PENDING</x:v>
      </x:c>
      <x:c r="K284" s="233" t="str">
        <x:v>Not Exposed</x:v>
      </x:c>
      <x:c r="L284" s="296" t="n">
        <x:v>0.2</x:v>
      </x:c>
      <x:c r="M284" s="296" t="n">
        <x:v>0.05</x:v>
      </x:c>
      <x:c r="N284" s="233" t="n">
        <x:v>0</x:v>
      </x:c>
      <x:c r="O284" s="233" t="str">
        <x:v>DRAFT_ORDINAL_MAPPING</x:v>
      </x:c>
      <x:c r="P284" s="233" t="str">
        <x:v>VERIFIED</x:v>
      </x:c>
      <x:c r="Q284" s="235" t="str"/>
      <x:c r="R284" s="235" t="str"/>
      <x:c r="S284" s="233" t="str">
        <x:v>ILO_SCORE25</x:v>
      </x:c>
      <x:c r="T284" s="233" t="str">
        <x:v>WP140 online Annex, Table A1</x:v>
      </x:c>
      <x:c r="U284" s="235" t="str">
        <x:v>PENDING</x:v>
      </x:c>
      <x:c r="V284" s="235" t="str">
        <x:v>Codex</x:v>
      </x:c>
      <x:c r="W284" s="297" t="str">
        <x:v>KBJI–ISCO belum dipetakan; skor 0–5 adalah transformasi ordinal draft.</x:v>
      </x:c>
    </x:row>
    <x:row r="285">
      <x:c r="A285" s="293" t="str"/>
      <x:c r="B285" s="294" t="str"/>
      <x:c r="C285" s="235" t="str"/>
      <x:c r="D285" s="295" t="str">
        <x:v>6129</x:v>
      </x:c>
      <x:c r="E285" s="233" t="str">
        <x:v>Animal Producers Not Elsewhere Classified</x:v>
      </x:c>
      <x:c r="F285" s="233" t="str">
        <x:v>UNRESOLVED</x:v>
      </x:c>
      <x:c r="G285" s="233"/>
      <x:c r="H285" s="233" t="str"/>
      <x:c r="I285" s="233"/>
      <x:c r="J285" s="233" t="str">
        <x:v>PENDING</x:v>
      </x:c>
      <x:c r="K285" s="233" t="str">
        <x:v>Not Exposed</x:v>
      </x:c>
      <x:c r="L285" s="296" t="n">
        <x:v>0.2</x:v>
      </x:c>
      <x:c r="M285" s="296" t="n">
        <x:v>0.14</x:v>
      </x:c>
      <x:c r="N285" s="233" t="n">
        <x:v>0</x:v>
      </x:c>
      <x:c r="O285" s="233" t="str">
        <x:v>DRAFT_ORDINAL_MAPPING</x:v>
      </x:c>
      <x:c r="P285" s="233" t="str">
        <x:v>VERIFIED</x:v>
      </x:c>
      <x:c r="Q285" s="235" t="str"/>
      <x:c r="R285" s="235" t="str"/>
      <x:c r="S285" s="233" t="str">
        <x:v>ILO_SCORE25</x:v>
      </x:c>
      <x:c r="T285" s="233" t="str">
        <x:v>WP140 online Annex, Table A1</x:v>
      </x:c>
      <x:c r="U285" s="235" t="str">
        <x:v>PENDING</x:v>
      </x:c>
      <x:c r="V285" s="235" t="str">
        <x:v>Codex</x:v>
      </x:c>
      <x:c r="W285" s="297" t="str">
        <x:v>KBJI–ISCO belum dipetakan; skor 0–5 adalah transformasi ordinal draft.</x:v>
      </x:c>
    </x:row>
    <x:row r="286">
      <x:c r="A286" s="293" t="str"/>
      <x:c r="B286" s="294" t="str"/>
      <x:c r="C286" s="235" t="str"/>
      <x:c r="D286" s="295" t="str">
        <x:v>7222</x:v>
      </x:c>
      <x:c r="E286" s="233" t="str">
        <x:v>Toolmakers and Related Workers</x:v>
      </x:c>
      <x:c r="F286" s="233" t="str">
        <x:v>UNRESOLVED</x:v>
      </x:c>
      <x:c r="G286" s="233"/>
      <x:c r="H286" s="233" t="str"/>
      <x:c r="I286" s="233"/>
      <x:c r="J286" s="233" t="str">
        <x:v>PENDING</x:v>
      </x:c>
      <x:c r="K286" s="233" t="str">
        <x:v>Not Exposed</x:v>
      </x:c>
      <x:c r="L286" s="296" t="n">
        <x:v>0.2</x:v>
      </x:c>
      <x:c r="M286" s="296" t="n">
        <x:v>0.1</x:v>
      </x:c>
      <x:c r="N286" s="233" t="n">
        <x:v>0</x:v>
      </x:c>
      <x:c r="O286" s="233" t="str">
        <x:v>DRAFT_ORDINAL_MAPPING</x:v>
      </x:c>
      <x:c r="P286" s="233" t="str">
        <x:v>VERIFIED</x:v>
      </x:c>
      <x:c r="Q286" s="235" t="str"/>
      <x:c r="R286" s="235" t="str"/>
      <x:c r="S286" s="233" t="str">
        <x:v>ILO_SCORE25</x:v>
      </x:c>
      <x:c r="T286" s="233" t="str">
        <x:v>WP140 online Annex, Table A1</x:v>
      </x:c>
      <x:c r="U286" s="235" t="str">
        <x:v>PENDING</x:v>
      </x:c>
      <x:c r="V286" s="235" t="str">
        <x:v>Codex</x:v>
      </x:c>
      <x:c r="W286" s="297" t="str">
        <x:v>KBJI–ISCO belum dipetakan; skor 0–5 adalah transformasi ordinal draft.</x:v>
      </x:c>
    </x:row>
    <x:row r="287">
      <x:c r="A287" s="293" t="str"/>
      <x:c r="B287" s="294" t="str"/>
      <x:c r="C287" s="235" t="str"/>
      <x:c r="D287" s="295" t="str">
        <x:v>8122</x:v>
      </x:c>
      <x:c r="E287" s="233" t="str">
        <x:v>Metal Finishing, Plating and Coating Machine Operators</x:v>
      </x:c>
      <x:c r="F287" s="233" t="str">
        <x:v>UNRESOLVED</x:v>
      </x:c>
      <x:c r="G287" s="233"/>
      <x:c r="H287" s="233" t="str"/>
      <x:c r="I287" s="233"/>
      <x:c r="J287" s="233" t="str">
        <x:v>PENDING</x:v>
      </x:c>
      <x:c r="K287" s="233" t="str">
        <x:v>Not Exposed</x:v>
      </x:c>
      <x:c r="L287" s="296" t="n">
        <x:v>0.2</x:v>
      </x:c>
      <x:c r="M287" s="296" t="n">
        <x:v>0.04</x:v>
      </x:c>
      <x:c r="N287" s="233" t="n">
        <x:v>0</x:v>
      </x:c>
      <x:c r="O287" s="233" t="str">
        <x:v>DRAFT_ORDINAL_MAPPING</x:v>
      </x:c>
      <x:c r="P287" s="233" t="str">
        <x:v>VERIFIED</x:v>
      </x:c>
      <x:c r="Q287" s="235" t="str"/>
      <x:c r="R287" s="235" t="str"/>
      <x:c r="S287" s="233" t="str">
        <x:v>ILO_SCORE25</x:v>
      </x:c>
      <x:c r="T287" s="233" t="str">
        <x:v>WP140 online Annex, Table A1</x:v>
      </x:c>
      <x:c r="U287" s="235" t="str">
        <x:v>PENDING</x:v>
      </x:c>
      <x:c r="V287" s="235" t="str">
        <x:v>Codex</x:v>
      </x:c>
      <x:c r="W287" s="297" t="str">
        <x:v>KBJI–ISCO belum dipetakan; skor 0–5 adalah transformasi ordinal draft.</x:v>
      </x:c>
    </x:row>
    <x:row r="288">
      <x:c r="A288" s="293" t="str"/>
      <x:c r="B288" s="294" t="str"/>
      <x:c r="C288" s="235" t="str"/>
      <x:c r="D288" s="295" t="str">
        <x:v>8182</x:v>
      </x:c>
      <x:c r="E288" s="233" t="str">
        <x:v>Steam Engine and Boiler Operators</x:v>
      </x:c>
      <x:c r="F288" s="233" t="str">
        <x:v>UNRESOLVED</x:v>
      </x:c>
      <x:c r="G288" s="233"/>
      <x:c r="H288" s="233" t="str"/>
      <x:c r="I288" s="233"/>
      <x:c r="J288" s="233" t="str">
        <x:v>PENDING</x:v>
      </x:c>
      <x:c r="K288" s="233" t="str">
        <x:v>Not Exposed</x:v>
      </x:c>
      <x:c r="L288" s="296" t="n">
        <x:v>0.2</x:v>
      </x:c>
      <x:c r="M288" s="296" t="n">
        <x:v>0.04</x:v>
      </x:c>
      <x:c r="N288" s="233" t="n">
        <x:v>0</x:v>
      </x:c>
      <x:c r="O288" s="233" t="str">
        <x:v>DRAFT_ORDINAL_MAPPING</x:v>
      </x:c>
      <x:c r="P288" s="233" t="str">
        <x:v>VERIFIED</x:v>
      </x:c>
      <x:c r="Q288" s="235" t="str"/>
      <x:c r="R288" s="235" t="str"/>
      <x:c r="S288" s="233" t="str">
        <x:v>ILO_SCORE25</x:v>
      </x:c>
      <x:c r="T288" s="233" t="str">
        <x:v>WP140 online Annex, Table A1</x:v>
      </x:c>
      <x:c r="U288" s="235" t="str">
        <x:v>PENDING</x:v>
      </x:c>
      <x:c r="V288" s="235" t="str">
        <x:v>Codex</x:v>
      </x:c>
      <x:c r="W288" s="297" t="str">
        <x:v>KBJI–ISCO belum dipetakan; skor 0–5 adalah transformasi ordinal draft.</x:v>
      </x:c>
    </x:row>
    <x:row r="289">
      <x:c r="A289" s="293" t="str"/>
      <x:c r="B289" s="294" t="str"/>
      <x:c r="C289" s="235" t="str"/>
      <x:c r="D289" s="295" t="str">
        <x:v>8311</x:v>
      </x:c>
      <x:c r="E289" s="233" t="str">
        <x:v>Locomotive Engine Drivers</x:v>
      </x:c>
      <x:c r="F289" s="233" t="str">
        <x:v>UNRESOLVED</x:v>
      </x:c>
      <x:c r="G289" s="233"/>
      <x:c r="H289" s="233" t="str"/>
      <x:c r="I289" s="233"/>
      <x:c r="J289" s="233" t="str">
        <x:v>PENDING</x:v>
      </x:c>
      <x:c r="K289" s="233" t="str">
        <x:v>Not Exposed</x:v>
      </x:c>
      <x:c r="L289" s="296" t="n">
        <x:v>0.2</x:v>
      </x:c>
      <x:c r="M289" s="296" t="n">
        <x:v>0.08</x:v>
      </x:c>
      <x:c r="N289" s="233" t="n">
        <x:v>0</x:v>
      </x:c>
      <x:c r="O289" s="233" t="str">
        <x:v>DRAFT_ORDINAL_MAPPING</x:v>
      </x:c>
      <x:c r="P289" s="233" t="str">
        <x:v>VERIFIED</x:v>
      </x:c>
      <x:c r="Q289" s="235" t="str"/>
      <x:c r="R289" s="235" t="str"/>
      <x:c r="S289" s="233" t="str">
        <x:v>ILO_SCORE25</x:v>
      </x:c>
      <x:c r="T289" s="233" t="str">
        <x:v>WP140 online Annex, Table A1</x:v>
      </x:c>
      <x:c r="U289" s="235" t="str">
        <x:v>PENDING</x:v>
      </x:c>
      <x:c r="V289" s="235" t="str">
        <x:v>Codex</x:v>
      </x:c>
      <x:c r="W289" s="297" t="str">
        <x:v>KBJI–ISCO belum dipetakan; skor 0–5 adalah transformasi ordinal draft.</x:v>
      </x:c>
    </x:row>
    <x:row r="290">
      <x:c r="A290" s="293" t="str"/>
      <x:c r="B290" s="294" t="str"/>
      <x:c r="C290" s="235" t="str"/>
      <x:c r="D290" s="295" t="str">
        <x:v>8344</x:v>
      </x:c>
      <x:c r="E290" s="233" t="str">
        <x:v>Lifting Truck Operators</x:v>
      </x:c>
      <x:c r="F290" s="233" t="str">
        <x:v>UNRESOLVED</x:v>
      </x:c>
      <x:c r="G290" s="233"/>
      <x:c r="H290" s="233" t="str"/>
      <x:c r="I290" s="233"/>
      <x:c r="J290" s="233" t="str">
        <x:v>PENDING</x:v>
      </x:c>
      <x:c r="K290" s="233" t="str">
        <x:v>Not Exposed</x:v>
      </x:c>
      <x:c r="L290" s="296" t="n">
        <x:v>0.2</x:v>
      </x:c>
      <x:c r="M290" s="296" t="n">
        <x:v>0.1</x:v>
      </x:c>
      <x:c r="N290" s="233" t="n">
        <x:v>0</x:v>
      </x:c>
      <x:c r="O290" s="233" t="str">
        <x:v>DRAFT_ORDINAL_MAPPING</x:v>
      </x:c>
      <x:c r="P290" s="233" t="str">
        <x:v>VERIFIED</x:v>
      </x:c>
      <x:c r="Q290" s="235" t="str"/>
      <x:c r="R290" s="235" t="str"/>
      <x:c r="S290" s="233" t="str">
        <x:v>ILO_SCORE25</x:v>
      </x:c>
      <x:c r="T290" s="233" t="str">
        <x:v>WP140 online Annex, Table A1</x:v>
      </x:c>
      <x:c r="U290" s="235" t="str">
        <x:v>PENDING</x:v>
      </x:c>
      <x:c r="V290" s="235" t="str">
        <x:v>Codex</x:v>
      </x:c>
      <x:c r="W290" s="297" t="str">
        <x:v>KBJI–ISCO belum dipetakan; skor 0–5 adalah transformasi ordinal draft.</x:v>
      </x:c>
    </x:row>
    <x:row r="291">
      <x:c r="A291" s="293" t="str"/>
      <x:c r="B291" s="294" t="str"/>
      <x:c r="C291" s="235" t="str"/>
      <x:c r="D291" s="295" t="str">
        <x:v>9321</x:v>
      </x:c>
      <x:c r="E291" s="233" t="str">
        <x:v>Hand Packers</x:v>
      </x:c>
      <x:c r="F291" s="233" t="str">
        <x:v>UNRESOLVED</x:v>
      </x:c>
      <x:c r="G291" s="233"/>
      <x:c r="H291" s="233" t="str"/>
      <x:c r="I291" s="233"/>
      <x:c r="J291" s="233" t="str">
        <x:v>PENDING</x:v>
      </x:c>
      <x:c r="K291" s="233" t="str">
        <x:v>Not Exposed</x:v>
      </x:c>
      <x:c r="L291" s="296" t="n">
        <x:v>0.2</x:v>
      </x:c>
      <x:c r="M291" s="296" t="n">
        <x:v>0.05</x:v>
      </x:c>
      <x:c r="N291" s="233" t="n">
        <x:v>0</x:v>
      </x:c>
      <x:c r="O291" s="233" t="str">
        <x:v>DRAFT_ORDINAL_MAPPING</x:v>
      </x:c>
      <x:c r="P291" s="233" t="str">
        <x:v>VERIFIED</x:v>
      </x:c>
      <x:c r="Q291" s="235" t="str"/>
      <x:c r="R291" s="235" t="str"/>
      <x:c r="S291" s="233" t="str">
        <x:v>ILO_SCORE25</x:v>
      </x:c>
      <x:c r="T291" s="233" t="str">
        <x:v>WP140 online Annex, Table A1</x:v>
      </x:c>
      <x:c r="U291" s="235" t="str">
        <x:v>PENDING</x:v>
      </x:c>
      <x:c r="V291" s="235" t="str">
        <x:v>Codex</x:v>
      </x:c>
      <x:c r="W291" s="297" t="str">
        <x:v>KBJI–ISCO belum dipetakan; skor 0–5 adalah transformasi ordinal draft.</x:v>
      </x:c>
    </x:row>
    <x:row r="292">
      <x:c r="A292" s="293" t="str"/>
      <x:c r="B292" s="294" t="str"/>
      <x:c r="C292" s="235" t="str"/>
      <x:c r="D292" s="295" t="str">
        <x:v>9334</x:v>
      </x:c>
      <x:c r="E292" s="233" t="str">
        <x:v>Shelf Fillers</x:v>
      </x:c>
      <x:c r="F292" s="233" t="str">
        <x:v>UNRESOLVED</x:v>
      </x:c>
      <x:c r="G292" s="233"/>
      <x:c r="H292" s="233" t="str"/>
      <x:c r="I292" s="233"/>
      <x:c r="J292" s="233" t="str">
        <x:v>PENDING</x:v>
      </x:c>
      <x:c r="K292" s="233" t="str">
        <x:v>Not Exposed</x:v>
      </x:c>
      <x:c r="L292" s="296" t="n">
        <x:v>0.2</x:v>
      </x:c>
      <x:c r="M292" s="296" t="n">
        <x:v>0.1</x:v>
      </x:c>
      <x:c r="N292" s="233" t="n">
        <x:v>0</x:v>
      </x:c>
      <x:c r="O292" s="233" t="str">
        <x:v>DRAFT_ORDINAL_MAPPING</x:v>
      </x:c>
      <x:c r="P292" s="233" t="str">
        <x:v>VERIFIED</x:v>
      </x:c>
      <x:c r="Q292" s="235" t="str"/>
      <x:c r="R292" s="235" t="str"/>
      <x:c r="S292" s="233" t="str">
        <x:v>ILO_SCORE25</x:v>
      </x:c>
      <x:c r="T292" s="233" t="str">
        <x:v>WP140 online Annex, Table A1</x:v>
      </x:c>
      <x:c r="U292" s="235" t="str">
        <x:v>PENDING</x:v>
      </x:c>
      <x:c r="V292" s="235" t="str">
        <x:v>Codex</x:v>
      </x:c>
      <x:c r="W292" s="297" t="str">
        <x:v>KBJI–ISCO belum dipetakan; skor 0–5 adalah transformasi ordinal draft.</x:v>
      </x:c>
    </x:row>
    <x:row r="293">
      <x:c r="A293" s="293" t="str"/>
      <x:c r="B293" s="294" t="str"/>
      <x:c r="C293" s="235" t="str"/>
      <x:c r="D293" s="295" t="str">
        <x:v>9520</x:v>
      </x:c>
      <x:c r="E293" s="233" t="str">
        <x:v>Street Vendors (excluding Food)</x:v>
      </x:c>
      <x:c r="F293" s="233" t="str">
        <x:v>UNRESOLVED</x:v>
      </x:c>
      <x:c r="G293" s="233"/>
      <x:c r="H293" s="233" t="str"/>
      <x:c r="I293" s="233"/>
      <x:c r="J293" s="233" t="str">
        <x:v>PENDING</x:v>
      </x:c>
      <x:c r="K293" s="233" t="str">
        <x:v>Not Exposed</x:v>
      </x:c>
      <x:c r="L293" s="296" t="n">
        <x:v>0.2</x:v>
      </x:c>
      <x:c r="M293" s="296" t="n">
        <x:v>0.1</x:v>
      </x:c>
      <x:c r="N293" s="233" t="n">
        <x:v>0</x:v>
      </x:c>
      <x:c r="O293" s="233" t="str">
        <x:v>DRAFT_ORDINAL_MAPPING</x:v>
      </x:c>
      <x:c r="P293" s="233" t="str">
        <x:v>VERIFIED</x:v>
      </x:c>
      <x:c r="Q293" s="235" t="str"/>
      <x:c r="R293" s="235" t="str"/>
      <x:c r="S293" s="233" t="str">
        <x:v>ILO_SCORE25</x:v>
      </x:c>
      <x:c r="T293" s="233" t="str">
        <x:v>WP140 online Annex, Table A1</x:v>
      </x:c>
      <x:c r="U293" s="235" t="str">
        <x:v>PENDING</x:v>
      </x:c>
      <x:c r="V293" s="235" t="str">
        <x:v>Codex</x:v>
      </x:c>
      <x:c r="W293" s="297" t="str">
        <x:v>KBJI–ISCO belum dipetakan; skor 0–5 adalah transformasi ordinal draft.</x:v>
      </x:c>
    </x:row>
    <x:row r="294">
      <x:c r="A294" s="293" t="str"/>
      <x:c r="B294" s="294" t="str"/>
      <x:c r="C294" s="235" t="str"/>
      <x:c r="D294" s="295" t="str">
        <x:v>2653</x:v>
      </x:c>
      <x:c r="E294" s="233" t="str">
        <x:v>Dancers and Choreographers</x:v>
      </x:c>
      <x:c r="F294" s="233" t="str">
        <x:v>UNRESOLVED</x:v>
      </x:c>
      <x:c r="G294" s="233"/>
      <x:c r="H294" s="233" t="str"/>
      <x:c r="I294" s="233"/>
      <x:c r="J294" s="233" t="str">
        <x:v>PENDING</x:v>
      </x:c>
      <x:c r="K294" s="233" t="str">
        <x:v>Not Exposed</x:v>
      </x:c>
      <x:c r="L294" s="296" t="n">
        <x:v>0.19</x:v>
      </x:c>
      <x:c r="M294" s="296" t="n">
        <x:v>0.1</x:v>
      </x:c>
      <x:c r="N294" s="233" t="n">
        <x:v>0</x:v>
      </x:c>
      <x:c r="O294" s="233" t="str">
        <x:v>DRAFT_ORDINAL_MAPPING</x:v>
      </x:c>
      <x:c r="P294" s="233" t="str">
        <x:v>VERIFIED</x:v>
      </x:c>
      <x:c r="Q294" s="235" t="str"/>
      <x:c r="R294" s="235" t="str"/>
      <x:c r="S294" s="233" t="str">
        <x:v>ILO_SCORE25</x:v>
      </x:c>
      <x:c r="T294" s="233" t="str">
        <x:v>WP140 online Annex, Table A1</x:v>
      </x:c>
      <x:c r="U294" s="235" t="str">
        <x:v>PENDING</x:v>
      </x:c>
      <x:c r="V294" s="235" t="str">
        <x:v>Codex</x:v>
      </x:c>
      <x:c r="W294" s="297" t="str">
        <x:v>KBJI–ISCO belum dipetakan; skor 0–5 adalah transformasi ordinal draft.</x:v>
      </x:c>
    </x:row>
    <x:row r="295">
      <x:c r="A295" s="293" t="str"/>
      <x:c r="B295" s="294" t="str"/>
      <x:c r="C295" s="235" t="str"/>
      <x:c r="D295" s="295" t="str">
        <x:v>3230</x:v>
      </x:c>
      <x:c r="E295" s="233" t="str">
        <x:v>Traditional and Complementary Medicine Associate Professionals</x:v>
      </x:c>
      <x:c r="F295" s="233" t="str">
        <x:v>UNRESOLVED</x:v>
      </x:c>
      <x:c r="G295" s="233"/>
      <x:c r="H295" s="233" t="str"/>
      <x:c r="I295" s="233"/>
      <x:c r="J295" s="233" t="str">
        <x:v>PENDING</x:v>
      </x:c>
      <x:c r="K295" s="233" t="str">
        <x:v>Not Exposed</x:v>
      </x:c>
      <x:c r="L295" s="296" t="n">
        <x:v>0.19</x:v>
      </x:c>
      <x:c r="M295" s="296" t="n">
        <x:v>0.11</x:v>
      </x:c>
      <x:c r="N295" s="233" t="n">
        <x:v>0</x:v>
      </x:c>
      <x:c r="O295" s="233" t="str">
        <x:v>DRAFT_ORDINAL_MAPPING</x:v>
      </x:c>
      <x:c r="P295" s="233" t="str">
        <x:v>VERIFIED</x:v>
      </x:c>
      <x:c r="Q295" s="235" t="str"/>
      <x:c r="R295" s="235" t="str"/>
      <x:c r="S295" s="233" t="str">
        <x:v>ILO_SCORE25</x:v>
      </x:c>
      <x:c r="T295" s="233" t="str">
        <x:v>WP140 online Annex, Table A1</x:v>
      </x:c>
      <x:c r="U295" s="235" t="str">
        <x:v>PENDING</x:v>
      </x:c>
      <x:c r="V295" s="235" t="str">
        <x:v>Codex</x:v>
      </x:c>
      <x:c r="W295" s="297" t="str">
        <x:v>KBJI–ISCO belum dipetakan; skor 0–5 adalah transformasi ordinal draft.</x:v>
      </x:c>
    </x:row>
    <x:row r="296">
      <x:c r="A296" s="293" t="str"/>
      <x:c r="B296" s="294" t="str"/>
      <x:c r="C296" s="235" t="str"/>
      <x:c r="D296" s="295" t="str">
        <x:v>5311</x:v>
      </x:c>
      <x:c r="E296" s="233" t="str">
        <x:v>Child Care Workers</x:v>
      </x:c>
      <x:c r="F296" s="233" t="str">
        <x:v>UNRESOLVED</x:v>
      </x:c>
      <x:c r="G296" s="233"/>
      <x:c r="H296" s="233" t="str"/>
      <x:c r="I296" s="233"/>
      <x:c r="J296" s="233" t="str">
        <x:v>PENDING</x:v>
      </x:c>
      <x:c r="K296" s="233" t="str">
        <x:v>Not Exposed</x:v>
      </x:c>
      <x:c r="L296" s="296" t="n">
        <x:v>0.19</x:v>
      </x:c>
      <x:c r="M296" s="296" t="n">
        <x:v>0.09</x:v>
      </x:c>
      <x:c r="N296" s="233" t="n">
        <x:v>0</x:v>
      </x:c>
      <x:c r="O296" s="233" t="str">
        <x:v>DRAFT_ORDINAL_MAPPING</x:v>
      </x:c>
      <x:c r="P296" s="233" t="str">
        <x:v>VERIFIED</x:v>
      </x:c>
      <x:c r="Q296" s="235" t="str"/>
      <x:c r="R296" s="235" t="str"/>
      <x:c r="S296" s="233" t="str">
        <x:v>ILO_SCORE25</x:v>
      </x:c>
      <x:c r="T296" s="233" t="str">
        <x:v>WP140 online Annex, Table A1</x:v>
      </x:c>
      <x:c r="U296" s="235" t="str">
        <x:v>PENDING</x:v>
      </x:c>
      <x:c r="V296" s="235" t="str">
        <x:v>Codex</x:v>
      </x:c>
      <x:c r="W296" s="297" t="str">
        <x:v>KBJI–ISCO belum dipetakan; skor 0–5 adalah transformasi ordinal draft.</x:v>
      </x:c>
    </x:row>
    <x:row r="297">
      <x:c r="A297" s="293" t="str"/>
      <x:c r="B297" s="294" t="str"/>
      <x:c r="C297" s="235" t="str"/>
      <x:c r="D297" s="295" t="str">
        <x:v>6122</x:v>
      </x:c>
      <x:c r="E297" s="233" t="str">
        <x:v>Poultry Producers</x:v>
      </x:c>
      <x:c r="F297" s="233" t="str">
        <x:v>UNRESOLVED</x:v>
      </x:c>
      <x:c r="G297" s="233"/>
      <x:c r="H297" s="233" t="str"/>
      <x:c r="I297" s="233"/>
      <x:c r="J297" s="233" t="str">
        <x:v>PENDING</x:v>
      </x:c>
      <x:c r="K297" s="233" t="str">
        <x:v>Not Exposed</x:v>
      </x:c>
      <x:c r="L297" s="296" t="n">
        <x:v>0.19</x:v>
      </x:c>
      <x:c r="M297" s="296" t="n">
        <x:v>0.1</x:v>
      </x:c>
      <x:c r="N297" s="233" t="n">
        <x:v>0</x:v>
      </x:c>
      <x:c r="O297" s="233" t="str">
        <x:v>DRAFT_ORDINAL_MAPPING</x:v>
      </x:c>
      <x:c r="P297" s="233" t="str">
        <x:v>VERIFIED</x:v>
      </x:c>
      <x:c r="Q297" s="235" t="str"/>
      <x:c r="R297" s="235" t="str"/>
      <x:c r="S297" s="233" t="str">
        <x:v>ILO_SCORE25</x:v>
      </x:c>
      <x:c r="T297" s="233" t="str">
        <x:v>WP140 online Annex, Table A1</x:v>
      </x:c>
      <x:c r="U297" s="235" t="str">
        <x:v>PENDING</x:v>
      </x:c>
      <x:c r="V297" s="235" t="str">
        <x:v>Codex</x:v>
      </x:c>
      <x:c r="W297" s="297" t="str">
        <x:v>KBJI–ISCO belum dipetakan; skor 0–5 adalah transformasi ordinal draft.</x:v>
      </x:c>
    </x:row>
    <x:row r="298">
      <x:c r="A298" s="293" t="str"/>
      <x:c r="B298" s="294" t="str"/>
      <x:c r="C298" s="235" t="str"/>
      <x:c r="D298" s="295" t="str">
        <x:v>6130</x:v>
      </x:c>
      <x:c r="E298" s="233" t="str">
        <x:v>Mixed Crop and Animal Producers</x:v>
      </x:c>
      <x:c r="F298" s="233" t="str">
        <x:v>UNRESOLVED</x:v>
      </x:c>
      <x:c r="G298" s="233"/>
      <x:c r="H298" s="233" t="str"/>
      <x:c r="I298" s="233"/>
      <x:c r="J298" s="233" t="str">
        <x:v>PENDING</x:v>
      </x:c>
      <x:c r="K298" s="233" t="str">
        <x:v>Not Exposed</x:v>
      </x:c>
      <x:c r="L298" s="296" t="n">
        <x:v>0.19</x:v>
      </x:c>
      <x:c r="M298" s="296" t="n">
        <x:v>0.11</x:v>
      </x:c>
      <x:c r="N298" s="233" t="n">
        <x:v>0</x:v>
      </x:c>
      <x:c r="O298" s="233" t="str">
        <x:v>DRAFT_ORDINAL_MAPPING</x:v>
      </x:c>
      <x:c r="P298" s="233" t="str">
        <x:v>VERIFIED</x:v>
      </x:c>
      <x:c r="Q298" s="235" t="str"/>
      <x:c r="R298" s="235" t="str"/>
      <x:c r="S298" s="233" t="str">
        <x:v>ILO_SCORE25</x:v>
      </x:c>
      <x:c r="T298" s="233" t="str">
        <x:v>WP140 online Annex, Table A1</x:v>
      </x:c>
      <x:c r="U298" s="235" t="str">
        <x:v>PENDING</x:v>
      </x:c>
      <x:c r="V298" s="235" t="str">
        <x:v>Codex</x:v>
      </x:c>
      <x:c r="W298" s="297" t="str">
        <x:v>KBJI–ISCO belum dipetakan; skor 0–5 adalah transformasi ordinal draft.</x:v>
      </x:c>
    </x:row>
    <x:row r="299">
      <x:c r="A299" s="293" t="str"/>
      <x:c r="B299" s="294" t="str"/>
      <x:c r="C299" s="235" t="str"/>
      <x:c r="D299" s="295" t="str">
        <x:v>7232</x:v>
      </x:c>
      <x:c r="E299" s="233" t="str">
        <x:v>Aircraft Engine Mechanics and Repairers</x:v>
      </x:c>
      <x:c r="F299" s="233" t="str">
        <x:v>UNRESOLVED</x:v>
      </x:c>
      <x:c r="G299" s="233"/>
      <x:c r="H299" s="233" t="str"/>
      <x:c r="I299" s="233"/>
      <x:c r="J299" s="233" t="str">
        <x:v>PENDING</x:v>
      </x:c>
      <x:c r="K299" s="233" t="str">
        <x:v>Not Exposed</x:v>
      </x:c>
      <x:c r="L299" s="296" t="n">
        <x:v>0.19</x:v>
      </x:c>
      <x:c r="M299" s="296" t="n">
        <x:v>0.07</x:v>
      </x:c>
      <x:c r="N299" s="233" t="n">
        <x:v>0</x:v>
      </x:c>
      <x:c r="O299" s="233" t="str">
        <x:v>DRAFT_ORDINAL_MAPPING</x:v>
      </x:c>
      <x:c r="P299" s="233" t="str">
        <x:v>VERIFIED</x:v>
      </x:c>
      <x:c r="Q299" s="235" t="str"/>
      <x:c r="R299" s="235" t="str"/>
      <x:c r="S299" s="233" t="str">
        <x:v>ILO_SCORE25</x:v>
      </x:c>
      <x:c r="T299" s="233" t="str">
        <x:v>WP140 online Annex, Table A1</x:v>
      </x:c>
      <x:c r="U299" s="235" t="str">
        <x:v>PENDING</x:v>
      </x:c>
      <x:c r="V299" s="235" t="str">
        <x:v>Codex</x:v>
      </x:c>
      <x:c r="W299" s="297" t="str">
        <x:v>KBJI–ISCO belum dipetakan; skor 0–5 adalah transformasi ordinal draft.</x:v>
      </x:c>
    </x:row>
    <x:row r="300">
      <x:c r="A300" s="293" t="str"/>
      <x:c r="B300" s="294" t="str"/>
      <x:c r="C300" s="235" t="str"/>
      <x:c r="D300" s="295" t="str">
        <x:v>7315</x:v>
      </x:c>
      <x:c r="E300" s="233" t="str">
        <x:v>Glass Makers, Cutters, Grinders and Finishers</x:v>
      </x:c>
      <x:c r="F300" s="233" t="str">
        <x:v>UNRESOLVED</x:v>
      </x:c>
      <x:c r="G300" s="233"/>
      <x:c r="H300" s="233" t="str"/>
      <x:c r="I300" s="233"/>
      <x:c r="J300" s="233" t="str">
        <x:v>PENDING</x:v>
      </x:c>
      <x:c r="K300" s="233" t="str">
        <x:v>Not Exposed</x:v>
      </x:c>
      <x:c r="L300" s="296" t="n">
        <x:v>0.19</x:v>
      </x:c>
      <x:c r="M300" s="296" t="n">
        <x:v>0.06</x:v>
      </x:c>
      <x:c r="N300" s="233" t="n">
        <x:v>0</x:v>
      </x:c>
      <x:c r="O300" s="233" t="str">
        <x:v>DRAFT_ORDINAL_MAPPING</x:v>
      </x:c>
      <x:c r="P300" s="233" t="str">
        <x:v>VERIFIED</x:v>
      </x:c>
      <x:c r="Q300" s="235" t="str"/>
      <x:c r="R300" s="235" t="str"/>
      <x:c r="S300" s="233" t="str">
        <x:v>ILO_SCORE25</x:v>
      </x:c>
      <x:c r="T300" s="233" t="str">
        <x:v>WP140 online Annex, Table A1</x:v>
      </x:c>
      <x:c r="U300" s="235" t="str">
        <x:v>PENDING</x:v>
      </x:c>
      <x:c r="V300" s="235" t="str">
        <x:v>Codex</x:v>
      </x:c>
      <x:c r="W300" s="297" t="str">
        <x:v>KBJI–ISCO belum dipetakan; skor 0–5 adalah transformasi ordinal draft.</x:v>
      </x:c>
    </x:row>
    <x:row r="301">
      <x:c r="A301" s="293" t="str"/>
      <x:c r="B301" s="294" t="str"/>
      <x:c r="C301" s="235" t="str"/>
      <x:c r="D301" s="295" t="str">
        <x:v>7411</x:v>
      </x:c>
      <x:c r="E301" s="233" t="str">
        <x:v>Building and Related Electricians</x:v>
      </x:c>
      <x:c r="F301" s="233" t="str">
        <x:v>UNRESOLVED</x:v>
      </x:c>
      <x:c r="G301" s="233"/>
      <x:c r="H301" s="233" t="str"/>
      <x:c r="I301" s="233"/>
      <x:c r="J301" s="233" t="str">
        <x:v>PENDING</x:v>
      </x:c>
      <x:c r="K301" s="233" t="str">
        <x:v>Not Exposed</x:v>
      </x:c>
      <x:c r="L301" s="296" t="n">
        <x:v>0.19</x:v>
      </x:c>
      <x:c r="M301" s="296" t="n">
        <x:v>0.06</x:v>
      </x:c>
      <x:c r="N301" s="233" t="n">
        <x:v>0</x:v>
      </x:c>
      <x:c r="O301" s="233" t="str">
        <x:v>DRAFT_ORDINAL_MAPPING</x:v>
      </x:c>
      <x:c r="P301" s="233" t="str">
        <x:v>VERIFIED</x:v>
      </x:c>
      <x:c r="Q301" s="235" t="str"/>
      <x:c r="R301" s="235" t="str"/>
      <x:c r="S301" s="233" t="str">
        <x:v>ILO_SCORE25</x:v>
      </x:c>
      <x:c r="T301" s="233" t="str">
        <x:v>WP140 online Annex, Table A1</x:v>
      </x:c>
      <x:c r="U301" s="235" t="str">
        <x:v>PENDING</x:v>
      </x:c>
      <x:c r="V301" s="235" t="str">
        <x:v>Codex</x:v>
      </x:c>
      <x:c r="W301" s="297" t="str">
        <x:v>KBJI–ISCO belum dipetakan; skor 0–5 adalah transformasi ordinal draft.</x:v>
      </x:c>
    </x:row>
    <x:row r="302">
      <x:c r="A302" s="293" t="str"/>
      <x:c r="B302" s="294" t="str"/>
      <x:c r="C302" s="235" t="str"/>
      <x:c r="D302" s="295" t="str">
        <x:v>8113</x:v>
      </x:c>
      <x:c r="E302" s="233" t="str">
        <x:v>Well Drillers and Borers and Related Workers</x:v>
      </x:c>
      <x:c r="F302" s="233" t="str">
        <x:v>UNRESOLVED</x:v>
      </x:c>
      <x:c r="G302" s="233"/>
      <x:c r="H302" s="233" t="str"/>
      <x:c r="I302" s="233"/>
      <x:c r="J302" s="233" t="str">
        <x:v>PENDING</x:v>
      </x:c>
      <x:c r="K302" s="233" t="str">
        <x:v>Not Exposed</x:v>
      </x:c>
      <x:c r="L302" s="296" t="n">
        <x:v>0.19</x:v>
      </x:c>
      <x:c r="M302" s="296" t="n">
        <x:v>0.12</x:v>
      </x:c>
      <x:c r="N302" s="233" t="n">
        <x:v>0</x:v>
      </x:c>
      <x:c r="O302" s="233" t="str">
        <x:v>DRAFT_ORDINAL_MAPPING</x:v>
      </x:c>
      <x:c r="P302" s="233" t="str">
        <x:v>VERIFIED</x:v>
      </x:c>
      <x:c r="Q302" s="235" t="str"/>
      <x:c r="R302" s="235" t="str"/>
      <x:c r="S302" s="233" t="str">
        <x:v>ILO_SCORE25</x:v>
      </x:c>
      <x:c r="T302" s="233" t="str">
        <x:v>WP140 online Annex, Table A1</x:v>
      </x:c>
      <x:c r="U302" s="235" t="str">
        <x:v>PENDING</x:v>
      </x:c>
      <x:c r="V302" s="235" t="str">
        <x:v>Codex</x:v>
      </x:c>
      <x:c r="W302" s="297" t="str">
        <x:v>KBJI–ISCO belum dipetakan; skor 0–5 adalah transformasi ordinal draft.</x:v>
      </x:c>
    </x:row>
    <x:row r="303">
      <x:c r="A303" s="293" t="str"/>
      <x:c r="B303" s="294" t="str"/>
      <x:c r="C303" s="235" t="str"/>
      <x:c r="D303" s="295" t="str">
        <x:v>3214</x:v>
      </x:c>
      <x:c r="E303" s="233" t="str">
        <x:v>Medical and Dental Prosthetic Technicians</x:v>
      </x:c>
      <x:c r="F303" s="233" t="str">
        <x:v>UNRESOLVED</x:v>
      </x:c>
      <x:c r="G303" s="233"/>
      <x:c r="H303" s="233" t="str"/>
      <x:c r="I303" s="233"/>
      <x:c r="J303" s="233" t="str">
        <x:v>PENDING</x:v>
      </x:c>
      <x:c r="K303" s="233" t="str">
        <x:v>Not Exposed</x:v>
      </x:c>
      <x:c r="L303" s="296" t="n">
        <x:v>0.18</x:v>
      </x:c>
      <x:c r="M303" s="296" t="n">
        <x:v>0.05</x:v>
      </x:c>
      <x:c r="N303" s="233" t="n">
        <x:v>0</x:v>
      </x:c>
      <x:c r="O303" s="233" t="str">
        <x:v>DRAFT_ORDINAL_MAPPING</x:v>
      </x:c>
      <x:c r="P303" s="233" t="str">
        <x:v>VERIFIED</x:v>
      </x:c>
      <x:c r="Q303" s="235" t="str"/>
      <x:c r="R303" s="235" t="str"/>
      <x:c r="S303" s="233" t="str">
        <x:v>ILO_SCORE25</x:v>
      </x:c>
      <x:c r="T303" s="233" t="str">
        <x:v>WP140 online Annex, Table A1</x:v>
      </x:c>
      <x:c r="U303" s="235" t="str">
        <x:v>PENDING</x:v>
      </x:c>
      <x:c r="V303" s="235" t="str">
        <x:v>Codex</x:v>
      </x:c>
      <x:c r="W303" s="297" t="str">
        <x:v>KBJI–ISCO belum dipetakan; skor 0–5 adalah transformasi ordinal draft.</x:v>
      </x:c>
    </x:row>
    <x:row r="304">
      <x:c r="A304" s="293" t="str"/>
      <x:c r="B304" s="294" t="str"/>
      <x:c r="C304" s="235" t="str"/>
      <x:c r="D304" s="295" t="str">
        <x:v>5120</x:v>
      </x:c>
      <x:c r="E304" s="233" t="str">
        <x:v>Cooks</x:v>
      </x:c>
      <x:c r="F304" s="233" t="str">
        <x:v>UNRESOLVED</x:v>
      </x:c>
      <x:c r="G304" s="233"/>
      <x:c r="H304" s="233" t="str"/>
      <x:c r="I304" s="233"/>
      <x:c r="J304" s="233" t="str">
        <x:v>PENDING</x:v>
      </x:c>
      <x:c r="K304" s="233" t="str">
        <x:v>Not Exposed</x:v>
      </x:c>
      <x:c r="L304" s="296" t="n">
        <x:v>0.18</x:v>
      </x:c>
      <x:c r="M304" s="296" t="n">
        <x:v>0.06</x:v>
      </x:c>
      <x:c r="N304" s="233" t="n">
        <x:v>0</x:v>
      </x:c>
      <x:c r="O304" s="233" t="str">
        <x:v>DRAFT_ORDINAL_MAPPING</x:v>
      </x:c>
      <x:c r="P304" s="233" t="str">
        <x:v>VERIFIED</x:v>
      </x:c>
      <x:c r="Q304" s="235" t="str"/>
      <x:c r="R304" s="235" t="str"/>
      <x:c r="S304" s="233" t="str">
        <x:v>ILO_SCORE25</x:v>
      </x:c>
      <x:c r="T304" s="233" t="str">
        <x:v>WP140 online Annex, Table A1</x:v>
      </x:c>
      <x:c r="U304" s="235" t="str">
        <x:v>PENDING</x:v>
      </x:c>
      <x:c r="V304" s="235" t="str">
        <x:v>Codex</x:v>
      </x:c>
      <x:c r="W304" s="297" t="str">
        <x:v>KBJI–ISCO belum dipetakan; skor 0–5 adalah transformasi ordinal draft.</x:v>
      </x:c>
    </x:row>
    <x:row r="305">
      <x:c r="A305" s="293" t="str"/>
      <x:c r="B305" s="294" t="str"/>
      <x:c r="C305" s="235" t="str"/>
      <x:c r="D305" s="295" t="str">
        <x:v>5142</x:v>
      </x:c>
      <x:c r="E305" s="233" t="str">
        <x:v>Beauticians and Related Workers</x:v>
      </x:c>
      <x:c r="F305" s="233" t="str">
        <x:v>UNRESOLVED</x:v>
      </x:c>
      <x:c r="G305" s="233"/>
      <x:c r="H305" s="233" t="str"/>
      <x:c r="I305" s="233"/>
      <x:c r="J305" s="233" t="str">
        <x:v>PENDING</x:v>
      </x:c>
      <x:c r="K305" s="233" t="str">
        <x:v>Not Exposed</x:v>
      </x:c>
      <x:c r="L305" s="296" t="n">
        <x:v>0.18</x:v>
      </x:c>
      <x:c r="M305" s="296" t="n">
        <x:v>0.19</x:v>
      </x:c>
      <x:c r="N305" s="233" t="n">
        <x:v>0</x:v>
      </x:c>
      <x:c r="O305" s="233" t="str">
        <x:v>DRAFT_ORDINAL_MAPPING</x:v>
      </x:c>
      <x:c r="P305" s="233" t="str">
        <x:v>VERIFIED</x:v>
      </x:c>
      <x:c r="Q305" s="235" t="str"/>
      <x:c r="R305" s="235" t="str"/>
      <x:c r="S305" s="233" t="str">
        <x:v>ILO_SCORE25</x:v>
      </x:c>
      <x:c r="T305" s="233" t="str">
        <x:v>WP140 online Annex, Table A1</x:v>
      </x:c>
      <x:c r="U305" s="235" t="str">
        <x:v>PENDING</x:v>
      </x:c>
      <x:c r="V305" s="235" t="str">
        <x:v>Codex</x:v>
      </x:c>
      <x:c r="W305" s="297" t="str">
        <x:v>KBJI–ISCO belum dipetakan; skor 0–5 adalah transformasi ordinal draft.</x:v>
      </x:c>
    </x:row>
    <x:row r="306">
      <x:c r="A306" s="293" t="str"/>
      <x:c r="B306" s="294" t="str"/>
      <x:c r="C306" s="235" t="str"/>
      <x:c r="D306" s="295" t="str">
        <x:v>5411</x:v>
      </x:c>
      <x:c r="E306" s="233" t="str">
        <x:v>Fire Fighters</x:v>
      </x:c>
      <x:c r="F306" s="233" t="str">
        <x:v>UNRESOLVED</x:v>
      </x:c>
      <x:c r="G306" s="233"/>
      <x:c r="H306" s="233" t="str"/>
      <x:c r="I306" s="233"/>
      <x:c r="J306" s="233" t="str">
        <x:v>PENDING</x:v>
      </x:c>
      <x:c r="K306" s="233" t="str">
        <x:v>Not Exposed</x:v>
      </x:c>
      <x:c r="L306" s="296" t="n">
        <x:v>0.18</x:v>
      </x:c>
      <x:c r="M306" s="296" t="n">
        <x:v>0.1</x:v>
      </x:c>
      <x:c r="N306" s="233" t="n">
        <x:v>0</x:v>
      </x:c>
      <x:c r="O306" s="233" t="str">
        <x:v>DRAFT_ORDINAL_MAPPING</x:v>
      </x:c>
      <x:c r="P306" s="233" t="str">
        <x:v>VERIFIED</x:v>
      </x:c>
      <x:c r="Q306" s="235" t="str"/>
      <x:c r="R306" s="235" t="str"/>
      <x:c r="S306" s="233" t="str">
        <x:v>ILO_SCORE25</x:v>
      </x:c>
      <x:c r="T306" s="233" t="str">
        <x:v>WP140 online Annex, Table A1</x:v>
      </x:c>
      <x:c r="U306" s="235" t="str">
        <x:v>PENDING</x:v>
      </x:c>
      <x:c r="V306" s="235" t="str">
        <x:v>Codex</x:v>
      </x:c>
      <x:c r="W306" s="297" t="str">
        <x:v>KBJI–ISCO belum dipetakan; skor 0–5 adalah transformasi ordinal draft.</x:v>
      </x:c>
    </x:row>
    <x:row r="307">
      <x:c r="A307" s="293" t="str"/>
      <x:c r="B307" s="294" t="str"/>
      <x:c r="C307" s="235" t="str"/>
      <x:c r="D307" s="295" t="str">
        <x:v>6111</x:v>
      </x:c>
      <x:c r="E307" s="233" t="str">
        <x:v>Field Crop and Vegetable Growers</x:v>
      </x:c>
      <x:c r="F307" s="233" t="str">
        <x:v>UNRESOLVED</x:v>
      </x:c>
      <x:c r="G307" s="233"/>
      <x:c r="H307" s="233" t="str"/>
      <x:c r="I307" s="233"/>
      <x:c r="J307" s="233" t="str">
        <x:v>PENDING</x:v>
      </x:c>
      <x:c r="K307" s="233" t="str">
        <x:v>Not Exposed</x:v>
      </x:c>
      <x:c r="L307" s="296" t="n">
        <x:v>0.18</x:v>
      </x:c>
      <x:c r="M307" s="296" t="n">
        <x:v>0.12</x:v>
      </x:c>
      <x:c r="N307" s="233" t="n">
        <x:v>0</x:v>
      </x:c>
      <x:c r="O307" s="233" t="str">
        <x:v>DRAFT_ORDINAL_MAPPING</x:v>
      </x:c>
      <x:c r="P307" s="233" t="str">
        <x:v>VERIFIED</x:v>
      </x:c>
      <x:c r="Q307" s="235" t="str"/>
      <x:c r="R307" s="235" t="str"/>
      <x:c r="S307" s="233" t="str">
        <x:v>ILO_SCORE25</x:v>
      </x:c>
      <x:c r="T307" s="233" t="str">
        <x:v>WP140 online Annex, Table A1</x:v>
      </x:c>
      <x:c r="U307" s="235" t="str">
        <x:v>PENDING</x:v>
      </x:c>
      <x:c r="V307" s="235" t="str">
        <x:v>Codex</x:v>
      </x:c>
      <x:c r="W307" s="297" t="str">
        <x:v>KBJI–ISCO belum dipetakan; skor 0–5 adalah transformasi ordinal draft.</x:v>
      </x:c>
    </x:row>
    <x:row r="308">
      <x:c r="A308" s="293" t="str"/>
      <x:c r="B308" s="294" t="str"/>
      <x:c r="C308" s="235" t="str"/>
      <x:c r="D308" s="295" t="str">
        <x:v>6113</x:v>
      </x:c>
      <x:c r="E308" s="233" t="str">
        <x:v>Gardeners, Horticultural and Nursery Growers</x:v>
      </x:c>
      <x:c r="F308" s="233" t="str">
        <x:v>UNRESOLVED</x:v>
      </x:c>
      <x:c r="G308" s="233"/>
      <x:c r="H308" s="233" t="str"/>
      <x:c r="I308" s="233"/>
      <x:c r="J308" s="233" t="str">
        <x:v>PENDING</x:v>
      </x:c>
      <x:c r="K308" s="233" t="str">
        <x:v>Not Exposed</x:v>
      </x:c>
      <x:c r="L308" s="296" t="n">
        <x:v>0.18</x:v>
      </x:c>
      <x:c r="M308" s="296" t="n">
        <x:v>0.11</x:v>
      </x:c>
      <x:c r="N308" s="233" t="n">
        <x:v>0</x:v>
      </x:c>
      <x:c r="O308" s="233" t="str">
        <x:v>DRAFT_ORDINAL_MAPPING</x:v>
      </x:c>
      <x:c r="P308" s="233" t="str">
        <x:v>VERIFIED</x:v>
      </x:c>
      <x:c r="Q308" s="235" t="str"/>
      <x:c r="R308" s="235" t="str"/>
      <x:c r="S308" s="233" t="str">
        <x:v>ILO_SCORE25</x:v>
      </x:c>
      <x:c r="T308" s="233" t="str">
        <x:v>WP140 online Annex, Table A1</x:v>
      </x:c>
      <x:c r="U308" s="235" t="str">
        <x:v>PENDING</x:v>
      </x:c>
      <x:c r="V308" s="235" t="str">
        <x:v>Codex</x:v>
      </x:c>
      <x:c r="W308" s="297" t="str">
        <x:v>KBJI–ISCO belum dipetakan; skor 0–5 adalah transformasi ordinal draft.</x:v>
      </x:c>
    </x:row>
    <x:row r="309">
      <x:c r="A309" s="293" t="str"/>
      <x:c r="B309" s="294" t="str"/>
      <x:c r="C309" s="235" t="str"/>
      <x:c r="D309" s="295" t="str">
        <x:v>6223</x:v>
      </x:c>
      <x:c r="E309" s="233" t="str">
        <x:v>Deep-sea Fishery Workers</x:v>
      </x:c>
      <x:c r="F309" s="233" t="str">
        <x:v>UNRESOLVED</x:v>
      </x:c>
      <x:c r="G309" s="233"/>
      <x:c r="H309" s="233" t="str"/>
      <x:c r="I309" s="233"/>
      <x:c r="J309" s="233" t="str">
        <x:v>PENDING</x:v>
      </x:c>
      <x:c r="K309" s="233" t="str">
        <x:v>Not Exposed</x:v>
      </x:c>
      <x:c r="L309" s="296" t="n">
        <x:v>0.18</x:v>
      </x:c>
      <x:c r="M309" s="296" t="n">
        <x:v>0.07</x:v>
      </x:c>
      <x:c r="N309" s="233" t="n">
        <x:v>0</x:v>
      </x:c>
      <x:c r="O309" s="233" t="str">
        <x:v>DRAFT_ORDINAL_MAPPING</x:v>
      </x:c>
      <x:c r="P309" s="233" t="str">
        <x:v>VERIFIED</x:v>
      </x:c>
      <x:c r="Q309" s="235" t="str"/>
      <x:c r="R309" s="235" t="str"/>
      <x:c r="S309" s="233" t="str">
        <x:v>ILO_SCORE25</x:v>
      </x:c>
      <x:c r="T309" s="233" t="str">
        <x:v>WP140 online Annex, Table A1</x:v>
      </x:c>
      <x:c r="U309" s="235" t="str">
        <x:v>PENDING</x:v>
      </x:c>
      <x:c r="V309" s="235" t="str">
        <x:v>Codex</x:v>
      </x:c>
      <x:c r="W309" s="297" t="str">
        <x:v>KBJI–ISCO belum dipetakan; skor 0–5 adalah transformasi ordinal draft.</x:v>
      </x:c>
    </x:row>
    <x:row r="310">
      <x:c r="A310" s="293" t="str"/>
      <x:c r="B310" s="294" t="str"/>
      <x:c r="C310" s="235" t="str"/>
      <x:c r="D310" s="295" t="str">
        <x:v>7126</x:v>
      </x:c>
      <x:c r="E310" s="233" t="str">
        <x:v>Plumbers and Pipe Fitters</x:v>
      </x:c>
      <x:c r="F310" s="233" t="str">
        <x:v>UNRESOLVED</x:v>
      </x:c>
      <x:c r="G310" s="233"/>
      <x:c r="H310" s="233" t="str"/>
      <x:c r="I310" s="233"/>
      <x:c r="J310" s="233" t="str">
        <x:v>PENDING</x:v>
      </x:c>
      <x:c r="K310" s="233" t="str">
        <x:v>Not Exposed</x:v>
      </x:c>
      <x:c r="L310" s="296" t="n">
        <x:v>0.18</x:v>
      </x:c>
      <x:c r="M310" s="296" t="n">
        <x:v>0.1</x:v>
      </x:c>
      <x:c r="N310" s="233" t="n">
        <x:v>0</x:v>
      </x:c>
      <x:c r="O310" s="233" t="str">
        <x:v>DRAFT_ORDINAL_MAPPING</x:v>
      </x:c>
      <x:c r="P310" s="233" t="str">
        <x:v>VERIFIED</x:v>
      </x:c>
      <x:c r="Q310" s="235" t="str"/>
      <x:c r="R310" s="235" t="str"/>
      <x:c r="S310" s="233" t="str">
        <x:v>ILO_SCORE25</x:v>
      </x:c>
      <x:c r="T310" s="233" t="str">
        <x:v>WP140 online Annex, Table A1</x:v>
      </x:c>
      <x:c r="U310" s="235" t="str">
        <x:v>PENDING</x:v>
      </x:c>
      <x:c r="V310" s="235" t="str">
        <x:v>Codex</x:v>
      </x:c>
      <x:c r="W310" s="297" t="str">
        <x:v>KBJI–ISCO belum dipetakan; skor 0–5 adalah transformasi ordinal draft.</x:v>
      </x:c>
    </x:row>
    <x:row r="311">
      <x:c r="A311" s="293" t="str"/>
      <x:c r="B311" s="294" t="str"/>
      <x:c r="C311" s="235" t="str"/>
      <x:c r="D311" s="295" t="str">
        <x:v>7223</x:v>
      </x:c>
      <x:c r="E311" s="233" t="str">
        <x:v>Metal Working Machine Tool Setters and Operators</x:v>
      </x:c>
      <x:c r="F311" s="233" t="str">
        <x:v>UNRESOLVED</x:v>
      </x:c>
      <x:c r="G311" s="233"/>
      <x:c r="H311" s="233" t="str"/>
      <x:c r="I311" s="233"/>
      <x:c r="J311" s="233" t="str">
        <x:v>PENDING</x:v>
      </x:c>
      <x:c r="K311" s="233" t="str">
        <x:v>Not Exposed</x:v>
      </x:c>
      <x:c r="L311" s="296" t="n">
        <x:v>0.18</x:v>
      </x:c>
      <x:c r="M311" s="296" t="n">
        <x:v>0.05</x:v>
      </x:c>
      <x:c r="N311" s="233" t="n">
        <x:v>0</x:v>
      </x:c>
      <x:c r="O311" s="233" t="str">
        <x:v>DRAFT_ORDINAL_MAPPING</x:v>
      </x:c>
      <x:c r="P311" s="233" t="str">
        <x:v>VERIFIED</x:v>
      </x:c>
      <x:c r="Q311" s="235" t="str"/>
      <x:c r="R311" s="235" t="str"/>
      <x:c r="S311" s="233" t="str">
        <x:v>ILO_SCORE25</x:v>
      </x:c>
      <x:c r="T311" s="233" t="str">
        <x:v>WP140 online Annex, Table A1</x:v>
      </x:c>
      <x:c r="U311" s="235" t="str">
        <x:v>PENDING</x:v>
      </x:c>
      <x:c r="V311" s="235" t="str">
        <x:v>Codex</x:v>
      </x:c>
      <x:c r="W311" s="297" t="str">
        <x:v>KBJI–ISCO belum dipetakan; skor 0–5 adalah transformasi ordinal draft.</x:v>
      </x:c>
    </x:row>
    <x:row r="312">
      <x:c r="A312" s="293" t="str"/>
      <x:c r="B312" s="294" t="str"/>
      <x:c r="C312" s="235" t="str"/>
      <x:c r="D312" s="295" t="str">
        <x:v>7231</x:v>
      </x:c>
      <x:c r="E312" s="233" t="str">
        <x:v>Motor Vehicle Mechanics and Repairers</x:v>
      </x:c>
      <x:c r="F312" s="233" t="str">
        <x:v>UNRESOLVED</x:v>
      </x:c>
      <x:c r="G312" s="233"/>
      <x:c r="H312" s="233" t="str"/>
      <x:c r="I312" s="233"/>
      <x:c r="J312" s="233" t="str">
        <x:v>PENDING</x:v>
      </x:c>
      <x:c r="K312" s="233" t="str">
        <x:v>Not Exposed</x:v>
      </x:c>
      <x:c r="L312" s="296" t="n">
        <x:v>0.18</x:v>
      </x:c>
      <x:c r="M312" s="296" t="n">
        <x:v>0.04</x:v>
      </x:c>
      <x:c r="N312" s="233" t="n">
        <x:v>0</x:v>
      </x:c>
      <x:c r="O312" s="233" t="str">
        <x:v>DRAFT_ORDINAL_MAPPING</x:v>
      </x:c>
      <x:c r="P312" s="233" t="str">
        <x:v>VERIFIED</x:v>
      </x:c>
      <x:c r="Q312" s="235" t="str"/>
      <x:c r="R312" s="235" t="str"/>
      <x:c r="S312" s="233" t="str">
        <x:v>ILO_SCORE25</x:v>
      </x:c>
      <x:c r="T312" s="233" t="str">
        <x:v>WP140 online Annex, Table A1</x:v>
      </x:c>
      <x:c r="U312" s="235" t="str">
        <x:v>PENDING</x:v>
      </x:c>
      <x:c r="V312" s="235" t="str">
        <x:v>Codex</x:v>
      </x:c>
      <x:c r="W312" s="297" t="str">
        <x:v>KBJI–ISCO belum dipetakan; skor 0–5 adalah transformasi ordinal draft.</x:v>
      </x:c>
    </x:row>
    <x:row r="313">
      <x:c r="A313" s="293" t="str"/>
      <x:c r="B313" s="294" t="str"/>
      <x:c r="C313" s="235" t="str"/>
      <x:c r="D313" s="295" t="str">
        <x:v>7313</x:v>
      </x:c>
      <x:c r="E313" s="233" t="str">
        <x:v>Jewellery and Precious Metal Workers</x:v>
      </x:c>
      <x:c r="F313" s="233" t="str">
        <x:v>UNRESOLVED</x:v>
      </x:c>
      <x:c r="G313" s="233"/>
      <x:c r="H313" s="233" t="str"/>
      <x:c r="I313" s="233"/>
      <x:c r="J313" s="233" t="str">
        <x:v>PENDING</x:v>
      </x:c>
      <x:c r="K313" s="233" t="str">
        <x:v>Not Exposed</x:v>
      </x:c>
      <x:c r="L313" s="296" t="n">
        <x:v>0.18</x:v>
      </x:c>
      <x:c r="M313" s="296" t="n">
        <x:v>0.05</x:v>
      </x:c>
      <x:c r="N313" s="233" t="n">
        <x:v>0</x:v>
      </x:c>
      <x:c r="O313" s="233" t="str">
        <x:v>DRAFT_ORDINAL_MAPPING</x:v>
      </x:c>
      <x:c r="P313" s="233" t="str">
        <x:v>VERIFIED</x:v>
      </x:c>
      <x:c r="Q313" s="235" t="str"/>
      <x:c r="R313" s="235" t="str"/>
      <x:c r="S313" s="233" t="str">
        <x:v>ILO_SCORE25</x:v>
      </x:c>
      <x:c r="T313" s="233" t="str">
        <x:v>WP140 online Annex, Table A1</x:v>
      </x:c>
      <x:c r="U313" s="235" t="str">
        <x:v>PENDING</x:v>
      </x:c>
      <x:c r="V313" s="235" t="str">
        <x:v>Codex</x:v>
      </x:c>
      <x:c r="W313" s="297" t="str">
        <x:v>KBJI–ISCO belum dipetakan; skor 0–5 adalah transformasi ordinal draft.</x:v>
      </x:c>
    </x:row>
    <x:row r="314">
      <x:c r="A314" s="293" t="str"/>
      <x:c r="B314" s="294" t="str"/>
      <x:c r="C314" s="235" t="str"/>
      <x:c r="D314" s="295" t="str">
        <x:v>7314</x:v>
      </x:c>
      <x:c r="E314" s="233" t="str">
        <x:v>Potters and Related Workers</x:v>
      </x:c>
      <x:c r="F314" s="233" t="str">
        <x:v>UNRESOLVED</x:v>
      </x:c>
      <x:c r="G314" s="233"/>
      <x:c r="H314" s="233" t="str"/>
      <x:c r="I314" s="233"/>
      <x:c r="J314" s="233" t="str">
        <x:v>PENDING</x:v>
      </x:c>
      <x:c r="K314" s="233" t="str">
        <x:v>Not Exposed</x:v>
      </x:c>
      <x:c r="L314" s="296" t="n">
        <x:v>0.18</x:v>
      </x:c>
      <x:c r="M314" s="296" t="n">
        <x:v>0.07</x:v>
      </x:c>
      <x:c r="N314" s="233" t="n">
        <x:v>0</x:v>
      </x:c>
      <x:c r="O314" s="233" t="str">
        <x:v>DRAFT_ORDINAL_MAPPING</x:v>
      </x:c>
      <x:c r="P314" s="233" t="str">
        <x:v>VERIFIED</x:v>
      </x:c>
      <x:c r="Q314" s="235" t="str"/>
      <x:c r="R314" s="235" t="str"/>
      <x:c r="S314" s="233" t="str">
        <x:v>ILO_SCORE25</x:v>
      </x:c>
      <x:c r="T314" s="233" t="str">
        <x:v>WP140 online Annex, Table A1</x:v>
      </x:c>
      <x:c r="U314" s="235" t="str">
        <x:v>PENDING</x:v>
      </x:c>
      <x:c r="V314" s="235" t="str">
        <x:v>Codex</x:v>
      </x:c>
      <x:c r="W314" s="297" t="str">
        <x:v>KBJI–ISCO belum dipetakan; skor 0–5 adalah transformasi ordinal draft.</x:v>
      </x:c>
    </x:row>
    <x:row r="315">
      <x:c r="A315" s="293" t="str"/>
      <x:c r="B315" s="294" t="str"/>
      <x:c r="C315" s="235" t="str"/>
      <x:c r="D315" s="295" t="str">
        <x:v>7316</x:v>
      </x:c>
      <x:c r="E315" s="233" t="str">
        <x:v>Sign Writers, Decorative Painters, Engravers and Etchers</x:v>
      </x:c>
      <x:c r="F315" s="233" t="str">
        <x:v>UNRESOLVED</x:v>
      </x:c>
      <x:c r="G315" s="233"/>
      <x:c r="H315" s="233" t="str"/>
      <x:c r="I315" s="233"/>
      <x:c r="J315" s="233" t="str">
        <x:v>PENDING</x:v>
      </x:c>
      <x:c r="K315" s="233" t="str">
        <x:v>Not Exposed</x:v>
      </x:c>
      <x:c r="L315" s="296" t="n">
        <x:v>0.18</x:v>
      </x:c>
      <x:c r="M315" s="296" t="n">
        <x:v>0.08</x:v>
      </x:c>
      <x:c r="N315" s="233" t="n">
        <x:v>0</x:v>
      </x:c>
      <x:c r="O315" s="233" t="str">
        <x:v>DRAFT_ORDINAL_MAPPING</x:v>
      </x:c>
      <x:c r="P315" s="233" t="str">
        <x:v>VERIFIED</x:v>
      </x:c>
      <x:c r="Q315" s="235" t="str"/>
      <x:c r="R315" s="235" t="str"/>
      <x:c r="S315" s="233" t="str">
        <x:v>ILO_SCORE25</x:v>
      </x:c>
      <x:c r="T315" s="233" t="str">
        <x:v>WP140 online Annex, Table A1</x:v>
      </x:c>
      <x:c r="U315" s="235" t="str">
        <x:v>PENDING</x:v>
      </x:c>
      <x:c r="V315" s="235" t="str">
        <x:v>Codex</x:v>
      </x:c>
      <x:c r="W315" s="297" t="str">
        <x:v>KBJI–ISCO belum dipetakan; skor 0–5 adalah transformasi ordinal draft.</x:v>
      </x:c>
    </x:row>
    <x:row r="316">
      <x:c r="A316" s="293" t="str"/>
      <x:c r="B316" s="294" t="str"/>
      <x:c r="C316" s="235" t="str"/>
      <x:c r="D316" s="295" t="str">
        <x:v>7534</x:v>
      </x:c>
      <x:c r="E316" s="233" t="str">
        <x:v>Upholsterers and Related Workers</x:v>
      </x:c>
      <x:c r="F316" s="233" t="str">
        <x:v>UNRESOLVED</x:v>
      </x:c>
      <x:c r="G316" s="233"/>
      <x:c r="H316" s="233" t="str"/>
      <x:c r="I316" s="233"/>
      <x:c r="J316" s="233" t="str">
        <x:v>PENDING</x:v>
      </x:c>
      <x:c r="K316" s="233" t="str">
        <x:v>Not Exposed</x:v>
      </x:c>
      <x:c r="L316" s="296" t="n">
        <x:v>0.18</x:v>
      </x:c>
      <x:c r="M316" s="296" t="n">
        <x:v>0.09</x:v>
      </x:c>
      <x:c r="N316" s="233" t="n">
        <x:v>0</x:v>
      </x:c>
      <x:c r="O316" s="233" t="str">
        <x:v>DRAFT_ORDINAL_MAPPING</x:v>
      </x:c>
      <x:c r="P316" s="233" t="str">
        <x:v>VERIFIED</x:v>
      </x:c>
      <x:c r="Q316" s="235" t="str"/>
      <x:c r="R316" s="235" t="str"/>
      <x:c r="S316" s="233" t="str">
        <x:v>ILO_SCORE25</x:v>
      </x:c>
      <x:c r="T316" s="233" t="str">
        <x:v>WP140 online Annex, Table A1</x:v>
      </x:c>
      <x:c r="U316" s="235" t="str">
        <x:v>PENDING</x:v>
      </x:c>
      <x:c r="V316" s="235" t="str">
        <x:v>Codex</x:v>
      </x:c>
      <x:c r="W316" s="297" t="str">
        <x:v>KBJI–ISCO belum dipetakan; skor 0–5 adalah transformasi ordinal draft.</x:v>
      </x:c>
    </x:row>
    <x:row r="317">
      <x:c r="A317" s="293" t="str"/>
      <x:c r="B317" s="294" t="str"/>
      <x:c r="C317" s="235" t="str"/>
      <x:c r="D317" s="295" t="str">
        <x:v>8141</x:v>
      </x:c>
      <x:c r="E317" s="233" t="str">
        <x:v>Rubber Products Machine Operators</x:v>
      </x:c>
      <x:c r="F317" s="233" t="str">
        <x:v>UNRESOLVED</x:v>
      </x:c>
      <x:c r="G317" s="233"/>
      <x:c r="H317" s="233" t="str"/>
      <x:c r="I317" s="233"/>
      <x:c r="J317" s="233" t="str">
        <x:v>PENDING</x:v>
      </x:c>
      <x:c r="K317" s="233" t="str">
        <x:v>Not Exposed</x:v>
      </x:c>
      <x:c r="L317" s="296" t="n">
        <x:v>0.18</x:v>
      </x:c>
      <x:c r="M317" s="296" t="n">
        <x:v>0.05</x:v>
      </x:c>
      <x:c r="N317" s="233" t="n">
        <x:v>0</x:v>
      </x:c>
      <x:c r="O317" s="233" t="str">
        <x:v>DRAFT_ORDINAL_MAPPING</x:v>
      </x:c>
      <x:c r="P317" s="233" t="str">
        <x:v>VERIFIED</x:v>
      </x:c>
      <x:c r="Q317" s="235" t="str"/>
      <x:c r="R317" s="235" t="str"/>
      <x:c r="S317" s="233" t="str">
        <x:v>ILO_SCORE25</x:v>
      </x:c>
      <x:c r="T317" s="233" t="str">
        <x:v>WP140 online Annex, Table A1</x:v>
      </x:c>
      <x:c r="U317" s="235" t="str">
        <x:v>PENDING</x:v>
      </x:c>
      <x:c r="V317" s="235" t="str">
        <x:v>Codex</x:v>
      </x:c>
      <x:c r="W317" s="297" t="str">
        <x:v>KBJI–ISCO belum dipetakan; skor 0–5 adalah transformasi ordinal draft.</x:v>
      </x:c>
    </x:row>
    <x:row r="318">
      <x:c r="A318" s="293" t="str"/>
      <x:c r="B318" s="294" t="str"/>
      <x:c r="C318" s="235" t="str"/>
      <x:c r="D318" s="295" t="str">
        <x:v>8143</x:v>
      </x:c>
      <x:c r="E318" s="233" t="str">
        <x:v>Paper Products Machine Operators</x:v>
      </x:c>
      <x:c r="F318" s="233" t="str">
        <x:v>UNRESOLVED</x:v>
      </x:c>
      <x:c r="G318" s="233"/>
      <x:c r="H318" s="233" t="str"/>
      <x:c r="I318" s="233"/>
      <x:c r="J318" s="233" t="str">
        <x:v>PENDING</x:v>
      </x:c>
      <x:c r="K318" s="233" t="str">
        <x:v>Not Exposed</x:v>
      </x:c>
      <x:c r="L318" s="296" t="n">
        <x:v>0.18</x:v>
      </x:c>
      <x:c r="M318" s="296" t="n">
        <x:v>0.02</x:v>
      </x:c>
      <x:c r="N318" s="233" t="n">
        <x:v>0</x:v>
      </x:c>
      <x:c r="O318" s="233" t="str">
        <x:v>DRAFT_ORDINAL_MAPPING</x:v>
      </x:c>
      <x:c r="P318" s="233" t="str">
        <x:v>VERIFIED</x:v>
      </x:c>
      <x:c r="Q318" s="235" t="str"/>
      <x:c r="R318" s="235" t="str"/>
      <x:c r="S318" s="233" t="str">
        <x:v>ILO_SCORE25</x:v>
      </x:c>
      <x:c r="T318" s="233" t="str">
        <x:v>WP140 online Annex, Table A1</x:v>
      </x:c>
      <x:c r="U318" s="235" t="str">
        <x:v>PENDING</x:v>
      </x:c>
      <x:c r="V318" s="235" t="str">
        <x:v>Codex</x:v>
      </x:c>
      <x:c r="W318" s="297" t="str">
        <x:v>KBJI–ISCO belum dipetakan; skor 0–5 adalah transformasi ordinal draft.</x:v>
      </x:c>
    </x:row>
    <x:row r="319">
      <x:c r="A319" s="293" t="str"/>
      <x:c r="B319" s="294" t="str"/>
      <x:c r="C319" s="235" t="str"/>
      <x:c r="D319" s="295" t="str">
        <x:v>8331</x:v>
      </x:c>
      <x:c r="E319" s="233" t="str">
        <x:v>Bus and Tram Drivers</x:v>
      </x:c>
      <x:c r="F319" s="233" t="str">
        <x:v>UNRESOLVED</x:v>
      </x:c>
      <x:c r="G319" s="233"/>
      <x:c r="H319" s="233" t="str"/>
      <x:c r="I319" s="233"/>
      <x:c r="J319" s="233" t="str">
        <x:v>PENDING</x:v>
      </x:c>
      <x:c r="K319" s="233" t="str">
        <x:v>Not Exposed</x:v>
      </x:c>
      <x:c r="L319" s="296" t="n">
        <x:v>0.18</x:v>
      </x:c>
      <x:c r="M319" s="296" t="n">
        <x:v>0.06</x:v>
      </x:c>
      <x:c r="N319" s="233" t="n">
        <x:v>0</x:v>
      </x:c>
      <x:c r="O319" s="233" t="str">
        <x:v>DRAFT_ORDINAL_MAPPING</x:v>
      </x:c>
      <x:c r="P319" s="233" t="str">
        <x:v>VERIFIED</x:v>
      </x:c>
      <x:c r="Q319" s="235" t="str"/>
      <x:c r="R319" s="235" t="str"/>
      <x:c r="S319" s="233" t="str">
        <x:v>ILO_SCORE25</x:v>
      </x:c>
      <x:c r="T319" s="233" t="str">
        <x:v>WP140 online Annex, Table A1</x:v>
      </x:c>
      <x:c r="U319" s="235" t="str">
        <x:v>PENDING</x:v>
      </x:c>
      <x:c r="V319" s="235" t="str">
        <x:v>Codex</x:v>
      </x:c>
      <x:c r="W319" s="297" t="str">
        <x:v>KBJI–ISCO belum dipetakan; skor 0–5 adalah transformasi ordinal draft.</x:v>
      </x:c>
    </x:row>
    <x:row r="320">
      <x:c r="A320" s="293" t="str"/>
      <x:c r="B320" s="294" t="str"/>
      <x:c r="C320" s="235" t="str"/>
      <x:c r="D320" s="295" t="str">
        <x:v>8343</x:v>
      </x:c>
      <x:c r="E320" s="233" t="str">
        <x:v>Crane, hoist and related plant operators</x:v>
      </x:c>
      <x:c r="F320" s="233" t="str">
        <x:v>UNRESOLVED</x:v>
      </x:c>
      <x:c r="G320" s="233"/>
      <x:c r="H320" s="233" t="str"/>
      <x:c r="I320" s="233"/>
      <x:c r="J320" s="233" t="str">
        <x:v>PENDING</x:v>
      </x:c>
      <x:c r="K320" s="233" t="str">
        <x:v>Not Exposed</x:v>
      </x:c>
      <x:c r="L320" s="296" t="n">
        <x:v>0.18</x:v>
      </x:c>
      <x:c r="M320" s="296" t="n">
        <x:v>0.03</x:v>
      </x:c>
      <x:c r="N320" s="233" t="n">
        <x:v>0</x:v>
      </x:c>
      <x:c r="O320" s="233" t="str">
        <x:v>DRAFT_ORDINAL_MAPPING</x:v>
      </x:c>
      <x:c r="P320" s="233" t="str">
        <x:v>VERIFIED</x:v>
      </x:c>
      <x:c r="Q320" s="235" t="str"/>
      <x:c r="R320" s="235" t="str"/>
      <x:c r="S320" s="233" t="str">
        <x:v>ILO_SCORE25</x:v>
      </x:c>
      <x:c r="T320" s="233" t="str">
        <x:v>WP140 online Annex, Table A1</x:v>
      </x:c>
      <x:c r="U320" s="235" t="str">
        <x:v>PENDING</x:v>
      </x:c>
      <x:c r="V320" s="235" t="str">
        <x:v>Codex</x:v>
      </x:c>
      <x:c r="W320" s="297" t="str">
        <x:v>KBJI–ISCO belum dipetakan; skor 0–5 adalah transformasi ordinal draft.</x:v>
      </x:c>
    </x:row>
    <x:row r="321">
      <x:c r="A321" s="293" t="str"/>
      <x:c r="B321" s="294" t="str"/>
      <x:c r="C321" s="235" t="str"/>
      <x:c r="D321" s="295" t="str">
        <x:v>9411</x:v>
      </x:c>
      <x:c r="E321" s="233" t="str">
        <x:v>Fast Food Preparers</x:v>
      </x:c>
      <x:c r="F321" s="233" t="str">
        <x:v>UNRESOLVED</x:v>
      </x:c>
      <x:c r="G321" s="233"/>
      <x:c r="H321" s="233" t="str"/>
      <x:c r="I321" s="233"/>
      <x:c r="J321" s="233" t="str">
        <x:v>PENDING</x:v>
      </x:c>
      <x:c r="K321" s="233" t="str">
        <x:v>Not Exposed</x:v>
      </x:c>
      <x:c r="L321" s="296" t="n">
        <x:v>0.18</x:v>
      </x:c>
      <x:c r="M321" s="296" t="n">
        <x:v>0.05</x:v>
      </x:c>
      <x:c r="N321" s="233" t="n">
        <x:v>0</x:v>
      </x:c>
      <x:c r="O321" s="233" t="str">
        <x:v>DRAFT_ORDINAL_MAPPING</x:v>
      </x:c>
      <x:c r="P321" s="233" t="str">
        <x:v>VERIFIED</x:v>
      </x:c>
      <x:c r="Q321" s="235" t="str"/>
      <x:c r="R321" s="235" t="str"/>
      <x:c r="S321" s="233" t="str">
        <x:v>ILO_SCORE25</x:v>
      </x:c>
      <x:c r="T321" s="233" t="str">
        <x:v>WP140 online Annex, Table A1</x:v>
      </x:c>
      <x:c r="U321" s="235" t="str">
        <x:v>PENDING</x:v>
      </x:c>
      <x:c r="V321" s="235" t="str">
        <x:v>Codex</x:v>
      </x:c>
      <x:c r="W321" s="297" t="str">
        <x:v>KBJI–ISCO belum dipetakan; skor 0–5 adalah transformasi ordinal draft.</x:v>
      </x:c>
    </x:row>
    <x:row r="322">
      <x:c r="A322" s="293" t="str"/>
      <x:c r="B322" s="294" t="str"/>
      <x:c r="C322" s="235" t="str"/>
      <x:c r="D322" s="295" t="str">
        <x:v>9510</x:v>
      </x:c>
      <x:c r="E322" s="233" t="str">
        <x:v>Street and Related Service Workers</x:v>
      </x:c>
      <x:c r="F322" s="233" t="str">
        <x:v>UNRESOLVED</x:v>
      </x:c>
      <x:c r="G322" s="233"/>
      <x:c r="H322" s="233" t="str"/>
      <x:c r="I322" s="233"/>
      <x:c r="J322" s="233" t="str">
        <x:v>PENDING</x:v>
      </x:c>
      <x:c r="K322" s="233" t="str">
        <x:v>Not Exposed</x:v>
      </x:c>
      <x:c r="L322" s="296" t="n">
        <x:v>0.18</x:v>
      </x:c>
      <x:c r="M322" s="296" t="n">
        <x:v>0.09</x:v>
      </x:c>
      <x:c r="N322" s="233" t="n">
        <x:v>0</x:v>
      </x:c>
      <x:c r="O322" s="233" t="str">
        <x:v>DRAFT_ORDINAL_MAPPING</x:v>
      </x:c>
      <x:c r="P322" s="233" t="str">
        <x:v>VERIFIED</x:v>
      </x:c>
      <x:c r="Q322" s="235" t="str"/>
      <x:c r="R322" s="235" t="str"/>
      <x:c r="S322" s="233" t="str">
        <x:v>ILO_SCORE25</x:v>
      </x:c>
      <x:c r="T322" s="233" t="str">
        <x:v>WP140 online Annex, Table A1</x:v>
      </x:c>
      <x:c r="U322" s="235" t="str">
        <x:v>PENDING</x:v>
      </x:c>
      <x:c r="V322" s="235" t="str">
        <x:v>Codex</x:v>
      </x:c>
      <x:c r="W322" s="297" t="str">
        <x:v>KBJI–ISCO belum dipetakan; skor 0–5 adalah transformasi ordinal draft.</x:v>
      </x:c>
    </x:row>
    <x:row r="323">
      <x:c r="A323" s="293" t="str"/>
      <x:c r="B323" s="294" t="str"/>
      <x:c r="C323" s="235" t="str"/>
      <x:c r="D323" s="295" t="str">
        <x:v>9612</x:v>
      </x:c>
      <x:c r="E323" s="233" t="str">
        <x:v>Refuse Sorters</x:v>
      </x:c>
      <x:c r="F323" s="233" t="str">
        <x:v>UNRESOLVED</x:v>
      </x:c>
      <x:c r="G323" s="233"/>
      <x:c r="H323" s="233" t="str"/>
      <x:c r="I323" s="233"/>
      <x:c r="J323" s="233" t="str">
        <x:v>PENDING</x:v>
      </x:c>
      <x:c r="K323" s="233" t="str">
        <x:v>Not Exposed</x:v>
      </x:c>
      <x:c r="L323" s="296" t="n">
        <x:v>0.18</x:v>
      </x:c>
      <x:c r="M323" s="296" t="n">
        <x:v>0.11</x:v>
      </x:c>
      <x:c r="N323" s="233" t="n">
        <x:v>0</x:v>
      </x:c>
      <x:c r="O323" s="233" t="str">
        <x:v>DRAFT_ORDINAL_MAPPING</x:v>
      </x:c>
      <x:c r="P323" s="233" t="str">
        <x:v>VERIFIED</x:v>
      </x:c>
      <x:c r="Q323" s="235" t="str"/>
      <x:c r="R323" s="235" t="str"/>
      <x:c r="S323" s="233" t="str">
        <x:v>ILO_SCORE25</x:v>
      </x:c>
      <x:c r="T323" s="233" t="str">
        <x:v>WP140 online Annex, Table A1</x:v>
      </x:c>
      <x:c r="U323" s="235" t="str">
        <x:v>PENDING</x:v>
      </x:c>
      <x:c r="V323" s="235" t="str">
        <x:v>Codex</x:v>
      </x:c>
      <x:c r="W323" s="297" t="str">
        <x:v>KBJI–ISCO belum dipetakan; skor 0–5 adalah transformasi ordinal draft.</x:v>
      </x:c>
    </x:row>
    <x:row r="324">
      <x:c r="A324" s="293" t="str"/>
      <x:c r="B324" s="294" t="str"/>
      <x:c r="C324" s="235" t="str"/>
      <x:c r="D324" s="295" t="str">
        <x:v>2636</x:v>
      </x:c>
      <x:c r="E324" s="233" t="str">
        <x:v>Religious Professionals</x:v>
      </x:c>
      <x:c r="F324" s="233" t="str">
        <x:v>UNRESOLVED</x:v>
      </x:c>
      <x:c r="G324" s="233"/>
      <x:c r="H324" s="233" t="str"/>
      <x:c r="I324" s="233"/>
      <x:c r="J324" s="233" t="str">
        <x:v>PENDING</x:v>
      </x:c>
      <x:c r="K324" s="233" t="str">
        <x:v>Not Exposed</x:v>
      </x:c>
      <x:c r="L324" s="296" t="n">
        <x:v>0.17</x:v>
      </x:c>
      <x:c r="M324" s="296" t="n">
        <x:v>0.12</x:v>
      </x:c>
      <x:c r="N324" s="233" t="n">
        <x:v>0</x:v>
      </x:c>
      <x:c r="O324" s="233" t="str">
        <x:v>DRAFT_ORDINAL_MAPPING</x:v>
      </x:c>
      <x:c r="P324" s="233" t="str">
        <x:v>VERIFIED</x:v>
      </x:c>
      <x:c r="Q324" s="235" t="str"/>
      <x:c r="R324" s="235" t="str"/>
      <x:c r="S324" s="233" t="str">
        <x:v>ILO_SCORE25</x:v>
      </x:c>
      <x:c r="T324" s="233" t="str">
        <x:v>WP140 online Annex, Table A1</x:v>
      </x:c>
      <x:c r="U324" s="235" t="str">
        <x:v>PENDING</x:v>
      </x:c>
      <x:c r="V324" s="235" t="str">
        <x:v>Codex</x:v>
      </x:c>
      <x:c r="W324" s="297" t="str">
        <x:v>KBJI–ISCO belum dipetakan; skor 0–5 adalah transformasi ordinal draft.</x:v>
      </x:c>
    </x:row>
    <x:row r="325">
      <x:c r="A325" s="293" t="str"/>
      <x:c r="B325" s="294" t="str"/>
      <x:c r="C325" s="235" t="str"/>
      <x:c r="D325" s="295" t="str">
        <x:v>3255</x:v>
      </x:c>
      <x:c r="E325" s="233" t="str">
        <x:v>Physiotherapy Technicians and Assistants</x:v>
      </x:c>
      <x:c r="F325" s="233" t="str">
        <x:v>UNRESOLVED</x:v>
      </x:c>
      <x:c r="G325" s="233"/>
      <x:c r="H325" s="233" t="str"/>
      <x:c r="I325" s="233"/>
      <x:c r="J325" s="233" t="str">
        <x:v>PENDING</x:v>
      </x:c>
      <x:c r="K325" s="233" t="str">
        <x:v>Not Exposed</x:v>
      </x:c>
      <x:c r="L325" s="296" t="n">
        <x:v>0.17</x:v>
      </x:c>
      <x:c r="M325" s="296" t="n">
        <x:v>0.07</x:v>
      </x:c>
      <x:c r="N325" s="233" t="n">
        <x:v>0</x:v>
      </x:c>
      <x:c r="O325" s="233" t="str">
        <x:v>DRAFT_ORDINAL_MAPPING</x:v>
      </x:c>
      <x:c r="P325" s="233" t="str">
        <x:v>VERIFIED</x:v>
      </x:c>
      <x:c r="Q325" s="235" t="str"/>
      <x:c r="R325" s="235" t="str"/>
      <x:c r="S325" s="233" t="str">
        <x:v>ILO_SCORE25</x:v>
      </x:c>
      <x:c r="T325" s="233" t="str">
        <x:v>WP140 online Annex, Table A1</x:v>
      </x:c>
      <x:c r="U325" s="235" t="str">
        <x:v>PENDING</x:v>
      </x:c>
      <x:c r="V325" s="235" t="str">
        <x:v>Codex</x:v>
      </x:c>
      <x:c r="W325" s="297" t="str">
        <x:v>KBJI–ISCO belum dipetakan; skor 0–5 adalah transformasi ordinal draft.</x:v>
      </x:c>
    </x:row>
    <x:row r="326">
      <x:c r="A326" s="293" t="str"/>
      <x:c r="B326" s="294" t="str"/>
      <x:c r="C326" s="235" t="str"/>
      <x:c r="D326" s="295" t="str">
        <x:v>5141</x:v>
      </x:c>
      <x:c r="E326" s="233" t="str">
        <x:v>Hairdressers</x:v>
      </x:c>
      <x:c r="F326" s="233" t="str">
        <x:v>UNRESOLVED</x:v>
      </x:c>
      <x:c r="G326" s="233"/>
      <x:c r="H326" s="233" t="str"/>
      <x:c r="I326" s="233"/>
      <x:c r="J326" s="233" t="str">
        <x:v>PENDING</x:v>
      </x:c>
      <x:c r="K326" s="233" t="str">
        <x:v>Not Exposed</x:v>
      </x:c>
      <x:c r="L326" s="296" t="n">
        <x:v>0.17</x:v>
      </x:c>
      <x:c r="M326" s="296" t="n">
        <x:v>0.18</x:v>
      </x:c>
      <x:c r="N326" s="233" t="n">
        <x:v>0</x:v>
      </x:c>
      <x:c r="O326" s="233" t="str">
        <x:v>DRAFT_ORDINAL_MAPPING</x:v>
      </x:c>
      <x:c r="P326" s="233" t="str">
        <x:v>VERIFIED</x:v>
      </x:c>
      <x:c r="Q326" s="235" t="str"/>
      <x:c r="R326" s="235" t="str"/>
      <x:c r="S326" s="233" t="str">
        <x:v>ILO_SCORE25</x:v>
      </x:c>
      <x:c r="T326" s="233" t="str">
        <x:v>WP140 online Annex, Table A1</x:v>
      </x:c>
      <x:c r="U326" s="235" t="str">
        <x:v>PENDING</x:v>
      </x:c>
      <x:c r="V326" s="235" t="str">
        <x:v>Codex</x:v>
      </x:c>
      <x:c r="W326" s="297" t="str">
        <x:v>KBJI–ISCO belum dipetakan; skor 0–5 adalah transformasi ordinal draft.</x:v>
      </x:c>
    </x:row>
    <x:row r="327">
      <x:c r="A327" s="293" t="str"/>
      <x:c r="B327" s="294" t="str"/>
      <x:c r="C327" s="235" t="str"/>
      <x:c r="D327" s="295" t="str">
        <x:v>5163</x:v>
      </x:c>
      <x:c r="E327" s="233" t="str">
        <x:v>Undertakers and Embalmers</x:v>
      </x:c>
      <x:c r="F327" s="233" t="str">
        <x:v>UNRESOLVED</x:v>
      </x:c>
      <x:c r="G327" s="233"/>
      <x:c r="H327" s="233" t="str"/>
      <x:c r="I327" s="233"/>
      <x:c r="J327" s="233" t="str">
        <x:v>PENDING</x:v>
      </x:c>
      <x:c r="K327" s="233" t="str">
        <x:v>Not Exposed</x:v>
      </x:c>
      <x:c r="L327" s="296" t="n">
        <x:v>0.17</x:v>
      </x:c>
      <x:c r="M327" s="296" t="n">
        <x:v>0.17</x:v>
      </x:c>
      <x:c r="N327" s="233" t="n">
        <x:v>0</x:v>
      </x:c>
      <x:c r="O327" s="233" t="str">
        <x:v>DRAFT_ORDINAL_MAPPING</x:v>
      </x:c>
      <x:c r="P327" s="233" t="str">
        <x:v>VERIFIED</x:v>
      </x:c>
      <x:c r="Q327" s="235" t="str"/>
      <x:c r="R327" s="235" t="str"/>
      <x:c r="S327" s="233" t="str">
        <x:v>ILO_SCORE25</x:v>
      </x:c>
      <x:c r="T327" s="233" t="str">
        <x:v>WP140 online Annex, Table A1</x:v>
      </x:c>
      <x:c r="U327" s="235" t="str">
        <x:v>PENDING</x:v>
      </x:c>
      <x:c r="V327" s="235" t="str">
        <x:v>Codex</x:v>
      </x:c>
      <x:c r="W327" s="297" t="str">
        <x:v>KBJI–ISCO belum dipetakan; skor 0–5 adalah transformasi ordinal draft.</x:v>
      </x:c>
    </x:row>
    <x:row r="328">
      <x:c r="A328" s="293" t="str"/>
      <x:c r="B328" s="294" t="str"/>
      <x:c r="C328" s="235" t="str"/>
      <x:c r="D328" s="295" t="str">
        <x:v>6112</x:v>
      </x:c>
      <x:c r="E328" s="233" t="str">
        <x:v>Tree and Shrub Crop Growers</x:v>
      </x:c>
      <x:c r="F328" s="233" t="str">
        <x:v>UNRESOLVED</x:v>
      </x:c>
      <x:c r="G328" s="233"/>
      <x:c r="H328" s="233" t="str"/>
      <x:c r="I328" s="233"/>
      <x:c r="J328" s="233" t="str">
        <x:v>PENDING</x:v>
      </x:c>
      <x:c r="K328" s="233" t="str">
        <x:v>Not Exposed</x:v>
      </x:c>
      <x:c r="L328" s="296" t="n">
        <x:v>0.17</x:v>
      </x:c>
      <x:c r="M328" s="296" t="n">
        <x:v>0.11</x:v>
      </x:c>
      <x:c r="N328" s="233" t="n">
        <x:v>0</x:v>
      </x:c>
      <x:c r="O328" s="233" t="str">
        <x:v>DRAFT_ORDINAL_MAPPING</x:v>
      </x:c>
      <x:c r="P328" s="233" t="str">
        <x:v>VERIFIED</x:v>
      </x:c>
      <x:c r="Q328" s="235" t="str"/>
      <x:c r="R328" s="235" t="str"/>
      <x:c r="S328" s="233" t="str">
        <x:v>ILO_SCORE25</x:v>
      </x:c>
      <x:c r="T328" s="233" t="str">
        <x:v>WP140 online Annex, Table A1</x:v>
      </x:c>
      <x:c r="U328" s="235" t="str">
        <x:v>PENDING</x:v>
      </x:c>
      <x:c r="V328" s="235" t="str">
        <x:v>Codex</x:v>
      </x:c>
      <x:c r="W328" s="297" t="str">
        <x:v>KBJI–ISCO belum dipetakan; skor 0–5 adalah transformasi ordinal draft.</x:v>
      </x:c>
    </x:row>
    <x:row r="329">
      <x:c r="A329" s="293" t="str"/>
      <x:c r="B329" s="294" t="str"/>
      <x:c r="C329" s="235" t="str"/>
      <x:c r="D329" s="295" t="str">
        <x:v>6114</x:v>
      </x:c>
      <x:c r="E329" s="233" t="str">
        <x:v>Mixed Crop Growers</x:v>
      </x:c>
      <x:c r="F329" s="233" t="str">
        <x:v>UNRESOLVED</x:v>
      </x:c>
      <x:c r="G329" s="233"/>
      <x:c r="H329" s="233" t="str"/>
      <x:c r="I329" s="233"/>
      <x:c r="J329" s="233" t="str">
        <x:v>PENDING</x:v>
      </x:c>
      <x:c r="K329" s="233" t="str">
        <x:v>Not Exposed</x:v>
      </x:c>
      <x:c r="L329" s="296" t="n">
        <x:v>0.17</x:v>
      </x:c>
      <x:c r="M329" s="296" t="n">
        <x:v>0.12</x:v>
      </x:c>
      <x:c r="N329" s="233" t="n">
        <x:v>0</x:v>
      </x:c>
      <x:c r="O329" s="233" t="str">
        <x:v>DRAFT_ORDINAL_MAPPING</x:v>
      </x:c>
      <x:c r="P329" s="233" t="str">
        <x:v>VERIFIED</x:v>
      </x:c>
      <x:c r="Q329" s="235" t="str"/>
      <x:c r="R329" s="235" t="str"/>
      <x:c r="S329" s="233" t="str">
        <x:v>ILO_SCORE25</x:v>
      </x:c>
      <x:c r="T329" s="233" t="str">
        <x:v>WP140 online Annex, Table A1</x:v>
      </x:c>
      <x:c r="U329" s="235" t="str">
        <x:v>PENDING</x:v>
      </x:c>
      <x:c r="V329" s="235" t="str">
        <x:v>Codex</x:v>
      </x:c>
      <x:c r="W329" s="297" t="str">
        <x:v>KBJI–ISCO belum dipetakan; skor 0–5 adalah transformasi ordinal draft.</x:v>
      </x:c>
    </x:row>
    <x:row r="330">
      <x:c r="A330" s="293" t="str"/>
      <x:c r="B330" s="294" t="str"/>
      <x:c r="C330" s="235" t="str"/>
      <x:c r="D330" s="295" t="str">
        <x:v>6121</x:v>
      </x:c>
      <x:c r="E330" s="233" t="str">
        <x:v>Livestock and Dairy Producers</x:v>
      </x:c>
      <x:c r="F330" s="233" t="str">
        <x:v>UNRESOLVED</x:v>
      </x:c>
      <x:c r="G330" s="233"/>
      <x:c r="H330" s="233" t="str"/>
      <x:c r="I330" s="233"/>
      <x:c r="J330" s="233" t="str">
        <x:v>PENDING</x:v>
      </x:c>
      <x:c r="K330" s="233" t="str">
        <x:v>Not Exposed</x:v>
      </x:c>
      <x:c r="L330" s="296" t="n">
        <x:v>0.17</x:v>
      </x:c>
      <x:c r="M330" s="296" t="n">
        <x:v>0.1</x:v>
      </x:c>
      <x:c r="N330" s="233" t="n">
        <x:v>0</x:v>
      </x:c>
      <x:c r="O330" s="233" t="str">
        <x:v>DRAFT_ORDINAL_MAPPING</x:v>
      </x:c>
      <x:c r="P330" s="233" t="str">
        <x:v>VERIFIED</x:v>
      </x:c>
      <x:c r="Q330" s="235" t="str"/>
      <x:c r="R330" s="235" t="str"/>
      <x:c r="S330" s="233" t="str">
        <x:v>ILO_SCORE25</x:v>
      </x:c>
      <x:c r="T330" s="233" t="str">
        <x:v>WP140 online Annex, Table A1</x:v>
      </x:c>
      <x:c r="U330" s="235" t="str">
        <x:v>PENDING</x:v>
      </x:c>
      <x:c r="V330" s="235" t="str">
        <x:v>Codex</x:v>
      </x:c>
      <x:c r="W330" s="297" t="str">
        <x:v>KBJI–ISCO belum dipetakan; skor 0–5 adalah transformasi ordinal draft.</x:v>
      </x:c>
    </x:row>
    <x:row r="331">
      <x:c r="A331" s="293" t="str"/>
      <x:c r="B331" s="294" t="str"/>
      <x:c r="C331" s="235" t="str"/>
      <x:c r="D331" s="295" t="str">
        <x:v>6222</x:v>
      </x:c>
      <x:c r="E331" s="233" t="str">
        <x:v>Inland and Coastal Waters Fishery Workers</x:v>
      </x:c>
      <x:c r="F331" s="233" t="str">
        <x:v>UNRESOLVED</x:v>
      </x:c>
      <x:c r="G331" s="233"/>
      <x:c r="H331" s="233" t="str"/>
      <x:c r="I331" s="233"/>
      <x:c r="J331" s="233" t="str">
        <x:v>PENDING</x:v>
      </x:c>
      <x:c r="K331" s="233" t="str">
        <x:v>Not Exposed</x:v>
      </x:c>
      <x:c r="L331" s="296" t="n">
        <x:v>0.17</x:v>
      </x:c>
      <x:c r="M331" s="296" t="n">
        <x:v>0.1</x:v>
      </x:c>
      <x:c r="N331" s="233" t="n">
        <x:v>0</x:v>
      </x:c>
      <x:c r="O331" s="233" t="str">
        <x:v>DRAFT_ORDINAL_MAPPING</x:v>
      </x:c>
      <x:c r="P331" s="233" t="str">
        <x:v>VERIFIED</x:v>
      </x:c>
      <x:c r="Q331" s="235" t="str"/>
      <x:c r="R331" s="235" t="str"/>
      <x:c r="S331" s="233" t="str">
        <x:v>ILO_SCORE25</x:v>
      </x:c>
      <x:c r="T331" s="233" t="str">
        <x:v>WP140 online Annex, Table A1</x:v>
      </x:c>
      <x:c r="U331" s="235" t="str">
        <x:v>PENDING</x:v>
      </x:c>
      <x:c r="V331" s="235" t="str">
        <x:v>Codex</x:v>
      </x:c>
      <x:c r="W331" s="297" t="str">
        <x:v>KBJI–ISCO belum dipetakan; skor 0–5 adalah transformasi ordinal draft.</x:v>
      </x:c>
    </x:row>
    <x:row r="332">
      <x:c r="A332" s="293" t="str"/>
      <x:c r="B332" s="294" t="str"/>
      <x:c r="C332" s="235" t="str"/>
      <x:c r="D332" s="295" t="str">
        <x:v>7221</x:v>
      </x:c>
      <x:c r="E332" s="233" t="str">
        <x:v>Blacksmiths, Hammersmiths and Forging Press Workers</x:v>
      </x:c>
      <x:c r="F332" s="233" t="str">
        <x:v>UNRESOLVED</x:v>
      </x:c>
      <x:c r="G332" s="233"/>
      <x:c r="H332" s="233" t="str"/>
      <x:c r="I332" s="233"/>
      <x:c r="J332" s="233" t="str">
        <x:v>PENDING</x:v>
      </x:c>
      <x:c r="K332" s="233" t="str">
        <x:v>Not Exposed</x:v>
      </x:c>
      <x:c r="L332" s="296" t="n">
        <x:v>0.17</x:v>
      </x:c>
      <x:c r="M332" s="296" t="n">
        <x:v>0.05</x:v>
      </x:c>
      <x:c r="N332" s="233" t="n">
        <x:v>0</x:v>
      </x:c>
      <x:c r="O332" s="233" t="str">
        <x:v>DRAFT_ORDINAL_MAPPING</x:v>
      </x:c>
      <x:c r="P332" s="233" t="str">
        <x:v>VERIFIED</x:v>
      </x:c>
      <x:c r="Q332" s="235" t="str"/>
      <x:c r="R332" s="235" t="str"/>
      <x:c r="S332" s="233" t="str">
        <x:v>ILO_SCORE25</x:v>
      </x:c>
      <x:c r="T332" s="233" t="str">
        <x:v>WP140 online Annex, Table A1</x:v>
      </x:c>
      <x:c r="U332" s="235" t="str">
        <x:v>PENDING</x:v>
      </x:c>
      <x:c r="V332" s="235" t="str">
        <x:v>Codex</x:v>
      </x:c>
      <x:c r="W332" s="297" t="str">
        <x:v>KBJI–ISCO belum dipetakan; skor 0–5 adalah transformasi ordinal draft.</x:v>
      </x:c>
    </x:row>
    <x:row r="333">
      <x:c r="A333" s="293" t="str"/>
      <x:c r="B333" s="294" t="str"/>
      <x:c r="C333" s="235" t="str"/>
      <x:c r="D333" s="295" t="str">
        <x:v>7224</x:v>
      </x:c>
      <x:c r="E333" s="233" t="str">
        <x:v>Metal Polishers, Wheel Grinders and Tool Sharpeners</x:v>
      </x:c>
      <x:c r="F333" s="233" t="str">
        <x:v>UNRESOLVED</x:v>
      </x:c>
      <x:c r="G333" s="233"/>
      <x:c r="H333" s="233" t="str"/>
      <x:c r="I333" s="233"/>
      <x:c r="J333" s="233" t="str">
        <x:v>PENDING</x:v>
      </x:c>
      <x:c r="K333" s="233" t="str">
        <x:v>Not Exposed</x:v>
      </x:c>
      <x:c r="L333" s="296" t="n">
        <x:v>0.17</x:v>
      </x:c>
      <x:c r="M333" s="296" t="n">
        <x:v>0.05</x:v>
      </x:c>
      <x:c r="N333" s="233" t="n">
        <x:v>0</x:v>
      </x:c>
      <x:c r="O333" s="233" t="str">
        <x:v>DRAFT_ORDINAL_MAPPING</x:v>
      </x:c>
      <x:c r="P333" s="233" t="str">
        <x:v>VERIFIED</x:v>
      </x:c>
      <x:c r="Q333" s="235" t="str"/>
      <x:c r="R333" s="235" t="str"/>
      <x:c r="S333" s="233" t="str">
        <x:v>ILO_SCORE25</x:v>
      </x:c>
      <x:c r="T333" s="233" t="str">
        <x:v>WP140 online Annex, Table A1</x:v>
      </x:c>
      <x:c r="U333" s="235" t="str">
        <x:v>PENDING</x:v>
      </x:c>
      <x:c r="V333" s="235" t="str">
        <x:v>Codex</x:v>
      </x:c>
      <x:c r="W333" s="297" t="str">
        <x:v>KBJI–ISCO belum dipetakan; skor 0–5 adalah transformasi ordinal draft.</x:v>
      </x:c>
    </x:row>
    <x:row r="334">
      <x:c r="A334" s="293" t="str"/>
      <x:c r="B334" s="294" t="str"/>
      <x:c r="C334" s="235" t="str"/>
      <x:c r="D334" s="295" t="str">
        <x:v>7233</x:v>
      </x:c>
      <x:c r="E334" s="233" t="str">
        <x:v>Agricultural and Industrial Machinery Mechanics and Repairers</x:v>
      </x:c>
      <x:c r="F334" s="233" t="str">
        <x:v>UNRESOLVED</x:v>
      </x:c>
      <x:c r="G334" s="233"/>
      <x:c r="H334" s="233" t="str"/>
      <x:c r="I334" s="233"/>
      <x:c r="J334" s="233" t="str">
        <x:v>PENDING</x:v>
      </x:c>
      <x:c r="K334" s="233" t="str">
        <x:v>Not Exposed</x:v>
      </x:c>
      <x:c r="L334" s="296" t="n">
        <x:v>0.17</x:v>
      </x:c>
      <x:c r="M334" s="296" t="n">
        <x:v>0.04</x:v>
      </x:c>
      <x:c r="N334" s="233" t="n">
        <x:v>0</x:v>
      </x:c>
      <x:c r="O334" s="233" t="str">
        <x:v>DRAFT_ORDINAL_MAPPING</x:v>
      </x:c>
      <x:c r="P334" s="233" t="str">
        <x:v>VERIFIED</x:v>
      </x:c>
      <x:c r="Q334" s="235" t="str"/>
      <x:c r="R334" s="235" t="str"/>
      <x:c r="S334" s="233" t="str">
        <x:v>ILO_SCORE25</x:v>
      </x:c>
      <x:c r="T334" s="233" t="str">
        <x:v>WP140 online Annex, Table A1</x:v>
      </x:c>
      <x:c r="U334" s="235" t="str">
        <x:v>PENDING</x:v>
      </x:c>
      <x:c r="V334" s="235" t="str">
        <x:v>Codex</x:v>
      </x:c>
      <x:c r="W334" s="297" t="str">
        <x:v>KBJI–ISCO belum dipetakan; skor 0–5 adalah transformasi ordinal draft.</x:v>
      </x:c>
    </x:row>
    <x:row r="335">
      <x:c r="A335" s="293" t="str"/>
      <x:c r="B335" s="294" t="str"/>
      <x:c r="C335" s="235" t="str"/>
      <x:c r="D335" s="295" t="str">
        <x:v>7412</x:v>
      </x:c>
      <x:c r="E335" s="233" t="str">
        <x:v>Electrical Mechanics and Fitters</x:v>
      </x:c>
      <x:c r="F335" s="233" t="str">
        <x:v>UNRESOLVED</x:v>
      </x:c>
      <x:c r="G335" s="233"/>
      <x:c r="H335" s="233" t="str"/>
      <x:c r="I335" s="233"/>
      <x:c r="J335" s="233" t="str">
        <x:v>PENDING</x:v>
      </x:c>
      <x:c r="K335" s="233" t="str">
        <x:v>Not Exposed</x:v>
      </x:c>
      <x:c r="L335" s="296" t="n">
        <x:v>0.17</x:v>
      </x:c>
      <x:c r="M335" s="296" t="n">
        <x:v>0.05</x:v>
      </x:c>
      <x:c r="N335" s="233" t="n">
        <x:v>0</x:v>
      </x:c>
      <x:c r="O335" s="233" t="str">
        <x:v>DRAFT_ORDINAL_MAPPING</x:v>
      </x:c>
      <x:c r="P335" s="233" t="str">
        <x:v>VERIFIED</x:v>
      </x:c>
      <x:c r="Q335" s="235" t="str"/>
      <x:c r="R335" s="235" t="str"/>
      <x:c r="S335" s="233" t="str">
        <x:v>ILO_SCORE25</x:v>
      </x:c>
      <x:c r="T335" s="233" t="str">
        <x:v>WP140 online Annex, Table A1</x:v>
      </x:c>
      <x:c r="U335" s="235" t="str">
        <x:v>PENDING</x:v>
      </x:c>
      <x:c r="V335" s="235" t="str">
        <x:v>Codex</x:v>
      </x:c>
      <x:c r="W335" s="297" t="str">
        <x:v>KBJI–ISCO belum dipetakan; skor 0–5 adalah transformasi ordinal draft.</x:v>
      </x:c>
    </x:row>
    <x:row r="336">
      <x:c r="A336" s="293" t="str"/>
      <x:c r="B336" s="294" t="str"/>
      <x:c r="C336" s="235" t="str"/>
      <x:c r="D336" s="295" t="str">
        <x:v>7512</x:v>
      </x:c>
      <x:c r="E336" s="233" t="str">
        <x:v>Bakers, Pastry-cooks and Confectionery Makers</x:v>
      </x:c>
      <x:c r="F336" s="233" t="str">
        <x:v>UNRESOLVED</x:v>
      </x:c>
      <x:c r="G336" s="233"/>
      <x:c r="H336" s="233" t="str"/>
      <x:c r="I336" s="233"/>
      <x:c r="J336" s="233" t="str">
        <x:v>PENDING</x:v>
      </x:c>
      <x:c r="K336" s="233" t="str">
        <x:v>Not Exposed</x:v>
      </x:c>
      <x:c r="L336" s="296" t="n">
        <x:v>0.17</x:v>
      </x:c>
      <x:c r="M336" s="296" t="n">
        <x:v>0.08</x:v>
      </x:c>
      <x:c r="N336" s="233" t="n">
        <x:v>0</x:v>
      </x:c>
      <x:c r="O336" s="233" t="str">
        <x:v>DRAFT_ORDINAL_MAPPING</x:v>
      </x:c>
      <x:c r="P336" s="233" t="str">
        <x:v>VERIFIED</x:v>
      </x:c>
      <x:c r="Q336" s="235" t="str"/>
      <x:c r="R336" s="235" t="str"/>
      <x:c r="S336" s="233" t="str">
        <x:v>ILO_SCORE25</x:v>
      </x:c>
      <x:c r="T336" s="233" t="str">
        <x:v>WP140 online Annex, Table A1</x:v>
      </x:c>
      <x:c r="U336" s="235" t="str">
        <x:v>PENDING</x:v>
      </x:c>
      <x:c r="V336" s="235" t="str">
        <x:v>Codex</x:v>
      </x:c>
      <x:c r="W336" s="297" t="str">
        <x:v>KBJI–ISCO belum dipetakan; skor 0–5 adalah transformasi ordinal draft.</x:v>
      </x:c>
    </x:row>
    <x:row r="337">
      <x:c r="A337" s="293" t="str"/>
      <x:c r="B337" s="294" t="str"/>
      <x:c r="C337" s="235" t="str"/>
      <x:c r="D337" s="295" t="str">
        <x:v>7532</x:v>
      </x:c>
      <x:c r="E337" s="233" t="str">
        <x:v>Garment and Related Patternmakers and Cutters</x:v>
      </x:c>
      <x:c r="F337" s="233" t="str">
        <x:v>UNRESOLVED</x:v>
      </x:c>
      <x:c r="G337" s="233"/>
      <x:c r="H337" s="233" t="str"/>
      <x:c r="I337" s="233"/>
      <x:c r="J337" s="233" t="str">
        <x:v>PENDING</x:v>
      </x:c>
      <x:c r="K337" s="233" t="str">
        <x:v>Not Exposed</x:v>
      </x:c>
      <x:c r="L337" s="296" t="n">
        <x:v>0.17</x:v>
      </x:c>
      <x:c r="M337" s="296" t="n">
        <x:v>0.04</x:v>
      </x:c>
      <x:c r="N337" s="233" t="n">
        <x:v>0</x:v>
      </x:c>
      <x:c r="O337" s="233" t="str">
        <x:v>DRAFT_ORDINAL_MAPPING</x:v>
      </x:c>
      <x:c r="P337" s="233" t="str">
        <x:v>VERIFIED</x:v>
      </x:c>
      <x:c r="Q337" s="235" t="str"/>
      <x:c r="R337" s="235" t="str"/>
      <x:c r="S337" s="233" t="str">
        <x:v>ILO_SCORE25</x:v>
      </x:c>
      <x:c r="T337" s="233" t="str">
        <x:v>WP140 online Annex, Table A1</x:v>
      </x:c>
      <x:c r="U337" s="235" t="str">
        <x:v>PENDING</x:v>
      </x:c>
      <x:c r="V337" s="235" t="str">
        <x:v>Codex</x:v>
      </x:c>
      <x:c r="W337" s="297" t="str">
        <x:v>KBJI–ISCO belum dipetakan; skor 0–5 adalah transformasi ordinal draft.</x:v>
      </x:c>
    </x:row>
    <x:row r="338">
      <x:c r="A338" s="293" t="str"/>
      <x:c r="B338" s="294" t="str"/>
      <x:c r="C338" s="235" t="str"/>
      <x:c r="D338" s="295" t="str">
        <x:v>7536</x:v>
      </x:c>
      <x:c r="E338" s="233" t="str">
        <x:v>Shoemakers and Related Workers</x:v>
      </x:c>
      <x:c r="F338" s="233" t="str">
        <x:v>UNRESOLVED</x:v>
      </x:c>
      <x:c r="G338" s="233"/>
      <x:c r="H338" s="233" t="str"/>
      <x:c r="I338" s="233"/>
      <x:c r="J338" s="233" t="str">
        <x:v>PENDING</x:v>
      </x:c>
      <x:c r="K338" s="233" t="str">
        <x:v>Not Exposed</x:v>
      </x:c>
      <x:c r="L338" s="296" t="n">
        <x:v>0.17</x:v>
      </x:c>
      <x:c r="M338" s="296" t="n">
        <x:v>0.06</x:v>
      </x:c>
      <x:c r="N338" s="233" t="n">
        <x:v>0</x:v>
      </x:c>
      <x:c r="O338" s="233" t="str">
        <x:v>DRAFT_ORDINAL_MAPPING</x:v>
      </x:c>
      <x:c r="P338" s="233" t="str">
        <x:v>VERIFIED</x:v>
      </x:c>
      <x:c r="Q338" s="235" t="str"/>
      <x:c r="R338" s="235" t="str"/>
      <x:c r="S338" s="233" t="str">
        <x:v>ILO_SCORE25</x:v>
      </x:c>
      <x:c r="T338" s="233" t="str">
        <x:v>WP140 online Annex, Table A1</x:v>
      </x:c>
      <x:c r="U338" s="235" t="str">
        <x:v>PENDING</x:v>
      </x:c>
      <x:c r="V338" s="235" t="str">
        <x:v>Codex</x:v>
      </x:c>
      <x:c r="W338" s="297" t="str">
        <x:v>KBJI–ISCO belum dipetakan; skor 0–5 adalah transformasi ordinal draft.</x:v>
      </x:c>
    </x:row>
    <x:row r="339">
      <x:c r="A339" s="293" t="str"/>
      <x:c r="B339" s="294" t="str"/>
      <x:c r="C339" s="235" t="str"/>
      <x:c r="D339" s="295" t="str">
        <x:v>8111</x:v>
      </x:c>
      <x:c r="E339" s="233" t="str">
        <x:v>Miners and Quarriers</x:v>
      </x:c>
      <x:c r="F339" s="233" t="str">
        <x:v>UNRESOLVED</x:v>
      </x:c>
      <x:c r="G339" s="233"/>
      <x:c r="H339" s="233" t="str"/>
      <x:c r="I339" s="233"/>
      <x:c r="J339" s="233" t="str">
        <x:v>PENDING</x:v>
      </x:c>
      <x:c r="K339" s="233" t="str">
        <x:v>Not Exposed</x:v>
      </x:c>
      <x:c r="L339" s="296" t="n">
        <x:v>0.17</x:v>
      </x:c>
      <x:c r="M339" s="296" t="n">
        <x:v>0.11</x:v>
      </x:c>
      <x:c r="N339" s="233" t="n">
        <x:v>0</x:v>
      </x:c>
      <x:c r="O339" s="233" t="str">
        <x:v>DRAFT_ORDINAL_MAPPING</x:v>
      </x:c>
      <x:c r="P339" s="233" t="str">
        <x:v>VERIFIED</x:v>
      </x:c>
      <x:c r="Q339" s="235" t="str"/>
      <x:c r="R339" s="235" t="str"/>
      <x:c r="S339" s="233" t="str">
        <x:v>ILO_SCORE25</x:v>
      </x:c>
      <x:c r="T339" s="233" t="str">
        <x:v>WP140 online Annex, Table A1</x:v>
      </x:c>
      <x:c r="U339" s="235" t="str">
        <x:v>PENDING</x:v>
      </x:c>
      <x:c r="V339" s="235" t="str">
        <x:v>Codex</x:v>
      </x:c>
      <x:c r="W339" s="297" t="str">
        <x:v>KBJI–ISCO belum dipetakan; skor 0–5 adalah transformasi ordinal draft.</x:v>
      </x:c>
    </x:row>
    <x:row r="340">
      <x:c r="A340" s="293" t="str"/>
      <x:c r="B340" s="294" t="str"/>
      <x:c r="C340" s="235" t="str"/>
      <x:c r="D340" s="295" t="str">
        <x:v>8142</x:v>
      </x:c>
      <x:c r="E340" s="233" t="str">
        <x:v>Plastic Products Machine Operators</x:v>
      </x:c>
      <x:c r="F340" s="233" t="str">
        <x:v>UNRESOLVED</x:v>
      </x:c>
      <x:c r="G340" s="233"/>
      <x:c r="H340" s="233" t="str"/>
      <x:c r="I340" s="233"/>
      <x:c r="J340" s="233" t="str">
        <x:v>PENDING</x:v>
      </x:c>
      <x:c r="K340" s="233" t="str">
        <x:v>Not Exposed</x:v>
      </x:c>
      <x:c r="L340" s="296" t="n">
        <x:v>0.17</x:v>
      </x:c>
      <x:c r="M340" s="296" t="n">
        <x:v>0.05</x:v>
      </x:c>
      <x:c r="N340" s="233" t="n">
        <x:v>0</x:v>
      </x:c>
      <x:c r="O340" s="233" t="str">
        <x:v>DRAFT_ORDINAL_MAPPING</x:v>
      </x:c>
      <x:c r="P340" s="233" t="str">
        <x:v>VERIFIED</x:v>
      </x:c>
      <x:c r="Q340" s="235" t="str"/>
      <x:c r="R340" s="235" t="str"/>
      <x:c r="S340" s="233" t="str">
        <x:v>ILO_SCORE25</x:v>
      </x:c>
      <x:c r="T340" s="233" t="str">
        <x:v>WP140 online Annex, Table A1</x:v>
      </x:c>
      <x:c r="U340" s="235" t="str">
        <x:v>PENDING</x:v>
      </x:c>
      <x:c r="V340" s="235" t="str">
        <x:v>Codex</x:v>
      </x:c>
      <x:c r="W340" s="297" t="str">
        <x:v>KBJI–ISCO belum dipetakan; skor 0–5 adalah transformasi ordinal draft.</x:v>
      </x:c>
    </x:row>
    <x:row r="341">
      <x:c r="A341" s="293" t="str"/>
      <x:c r="B341" s="294" t="str"/>
      <x:c r="C341" s="235" t="str"/>
      <x:c r="D341" s="295" t="str">
        <x:v>8181</x:v>
      </x:c>
      <x:c r="E341" s="233" t="str">
        <x:v>Glass and Ceramics Plant Operators</x:v>
      </x:c>
      <x:c r="F341" s="233" t="str">
        <x:v>UNRESOLVED</x:v>
      </x:c>
      <x:c r="G341" s="233"/>
      <x:c r="H341" s="233" t="str"/>
      <x:c r="I341" s="233"/>
      <x:c r="J341" s="233" t="str">
        <x:v>PENDING</x:v>
      </x:c>
      <x:c r="K341" s="233" t="str">
        <x:v>Not Exposed</x:v>
      </x:c>
      <x:c r="L341" s="296" t="n">
        <x:v>0.17</x:v>
      </x:c>
      <x:c r="M341" s="296" t="n">
        <x:v>0.06</x:v>
      </x:c>
      <x:c r="N341" s="233" t="n">
        <x:v>0</x:v>
      </x:c>
      <x:c r="O341" s="233" t="str">
        <x:v>DRAFT_ORDINAL_MAPPING</x:v>
      </x:c>
      <x:c r="P341" s="233" t="str">
        <x:v>VERIFIED</x:v>
      </x:c>
      <x:c r="Q341" s="235" t="str"/>
      <x:c r="R341" s="235" t="str"/>
      <x:c r="S341" s="233" t="str">
        <x:v>ILO_SCORE25</x:v>
      </x:c>
      <x:c r="T341" s="233" t="str">
        <x:v>WP140 online Annex, Table A1</x:v>
      </x:c>
      <x:c r="U341" s="235" t="str">
        <x:v>PENDING</x:v>
      </x:c>
      <x:c r="V341" s="235" t="str">
        <x:v>Codex</x:v>
      </x:c>
      <x:c r="W341" s="297" t="str">
        <x:v>KBJI–ISCO belum dipetakan; skor 0–5 adalah transformasi ordinal draft.</x:v>
      </x:c>
    </x:row>
    <x:row r="342">
      <x:c r="A342" s="293" t="str"/>
      <x:c r="B342" s="294" t="str"/>
      <x:c r="C342" s="235" t="str"/>
      <x:c r="D342" s="295" t="str">
        <x:v>8312</x:v>
      </x:c>
      <x:c r="E342" s="233" t="str">
        <x:v>Railway Brake, Signal and Switch Operators</x:v>
      </x:c>
      <x:c r="F342" s="233" t="str">
        <x:v>UNRESOLVED</x:v>
      </x:c>
      <x:c r="G342" s="233"/>
      <x:c r="H342" s="233" t="str"/>
      <x:c r="I342" s="233"/>
      <x:c r="J342" s="233" t="str">
        <x:v>PENDING</x:v>
      </x:c>
      <x:c r="K342" s="233" t="str">
        <x:v>Not Exposed</x:v>
      </x:c>
      <x:c r="L342" s="296" t="n">
        <x:v>0.17</x:v>
      </x:c>
      <x:c r="M342" s="296" t="n">
        <x:v>0.04</x:v>
      </x:c>
      <x:c r="N342" s="233" t="n">
        <x:v>0</x:v>
      </x:c>
      <x:c r="O342" s="233" t="str">
        <x:v>DRAFT_ORDINAL_MAPPING</x:v>
      </x:c>
      <x:c r="P342" s="233" t="str">
        <x:v>VERIFIED</x:v>
      </x:c>
      <x:c r="Q342" s="235" t="str"/>
      <x:c r="R342" s="235" t="str"/>
      <x:c r="S342" s="233" t="str">
        <x:v>ILO_SCORE25</x:v>
      </x:c>
      <x:c r="T342" s="233" t="str">
        <x:v>WP140 online Annex, Table A1</x:v>
      </x:c>
      <x:c r="U342" s="235" t="str">
        <x:v>PENDING</x:v>
      </x:c>
      <x:c r="V342" s="235" t="str">
        <x:v>Codex</x:v>
      </x:c>
      <x:c r="W342" s="297" t="str">
        <x:v>KBJI–ISCO belum dipetakan; skor 0–5 adalah transformasi ordinal draft.</x:v>
      </x:c>
    </x:row>
    <x:row r="343">
      <x:c r="A343" s="293" t="str"/>
      <x:c r="B343" s="294" t="str"/>
      <x:c r="C343" s="235" t="str"/>
      <x:c r="D343" s="295" t="str">
        <x:v>3251</x:v>
      </x:c>
      <x:c r="E343" s="233" t="str">
        <x:v>Dental Assistants and Therapists</x:v>
      </x:c>
      <x:c r="F343" s="233" t="str">
        <x:v>UNRESOLVED</x:v>
      </x:c>
      <x:c r="G343" s="233"/>
      <x:c r="H343" s="233" t="str"/>
      <x:c r="I343" s="233"/>
      <x:c r="J343" s="233" t="str">
        <x:v>PENDING</x:v>
      </x:c>
      <x:c r="K343" s="233" t="str">
        <x:v>Not Exposed</x:v>
      </x:c>
      <x:c r="L343" s="296" t="n">
        <x:v>0.16</x:v>
      </x:c>
      <x:c r="M343" s="296" t="n">
        <x:v>0.1</x:v>
      </x:c>
      <x:c r="N343" s="233" t="n">
        <x:v>0</x:v>
      </x:c>
      <x:c r="O343" s="233" t="str">
        <x:v>DRAFT_ORDINAL_MAPPING</x:v>
      </x:c>
      <x:c r="P343" s="233" t="str">
        <x:v>VERIFIED</x:v>
      </x:c>
      <x:c r="Q343" s="235" t="str"/>
      <x:c r="R343" s="235" t="str"/>
      <x:c r="S343" s="233" t="str">
        <x:v>ILO_SCORE25</x:v>
      </x:c>
      <x:c r="T343" s="233" t="str">
        <x:v>WP140 online Annex, Table A1</x:v>
      </x:c>
      <x:c r="U343" s="235" t="str">
        <x:v>PENDING</x:v>
      </x:c>
      <x:c r="V343" s="235" t="str">
        <x:v>Codex</x:v>
      </x:c>
      <x:c r="W343" s="297" t="str">
        <x:v>KBJI–ISCO belum dipetakan; skor 0–5 adalah transformasi ordinal draft.</x:v>
      </x:c>
    </x:row>
    <x:row r="344">
      <x:c r="A344" s="293" t="str"/>
      <x:c r="B344" s="294" t="str"/>
      <x:c r="C344" s="235" t="str"/>
      <x:c r="D344" s="295" t="str">
        <x:v>7522</x:v>
      </x:c>
      <x:c r="E344" s="233" t="str">
        <x:v>Cabinet-makers and Related Workers</x:v>
      </x:c>
      <x:c r="F344" s="233" t="str">
        <x:v>UNRESOLVED</x:v>
      </x:c>
      <x:c r="G344" s="233"/>
      <x:c r="H344" s="233" t="str"/>
      <x:c r="I344" s="233"/>
      <x:c r="J344" s="233" t="str">
        <x:v>PENDING</x:v>
      </x:c>
      <x:c r="K344" s="233" t="str">
        <x:v>Not Exposed</x:v>
      </x:c>
      <x:c r="L344" s="296" t="n">
        <x:v>0.16</x:v>
      </x:c>
      <x:c r="M344" s="296" t="n">
        <x:v>0.06</x:v>
      </x:c>
      <x:c r="N344" s="233" t="n">
        <x:v>0</x:v>
      </x:c>
      <x:c r="O344" s="233" t="str">
        <x:v>DRAFT_ORDINAL_MAPPING</x:v>
      </x:c>
      <x:c r="P344" s="233" t="str">
        <x:v>VERIFIED</x:v>
      </x:c>
      <x:c r="Q344" s="235" t="str"/>
      <x:c r="R344" s="235" t="str"/>
      <x:c r="S344" s="233" t="str">
        <x:v>ILO_SCORE25</x:v>
      </x:c>
      <x:c r="T344" s="233" t="str">
        <x:v>WP140 online Annex, Table A1</x:v>
      </x:c>
      <x:c r="U344" s="235" t="str">
        <x:v>PENDING</x:v>
      </x:c>
      <x:c r="V344" s="235" t="str">
        <x:v>Codex</x:v>
      </x:c>
      <x:c r="W344" s="297" t="str">
        <x:v>KBJI–ISCO belum dipetakan; skor 0–5 adalah transformasi ordinal draft.</x:v>
      </x:c>
    </x:row>
    <x:row r="345">
      <x:c r="A345" s="293" t="str"/>
      <x:c r="B345" s="294" t="str"/>
      <x:c r="C345" s="235" t="str"/>
      <x:c r="D345" s="295" t="str">
        <x:v>7541</x:v>
      </x:c>
      <x:c r="E345" s="233" t="str">
        <x:v>Underwater Divers</x:v>
      </x:c>
      <x:c r="F345" s="233" t="str">
        <x:v>UNRESOLVED</x:v>
      </x:c>
      <x:c r="G345" s="233"/>
      <x:c r="H345" s="233" t="str"/>
      <x:c r="I345" s="233"/>
      <x:c r="J345" s="233" t="str">
        <x:v>PENDING</x:v>
      </x:c>
      <x:c r="K345" s="233" t="str">
        <x:v>Not Exposed</x:v>
      </x:c>
      <x:c r="L345" s="296" t="n">
        <x:v>0.16</x:v>
      </x:c>
      <x:c r="M345" s="296" t="n">
        <x:v>0.09</x:v>
      </x:c>
      <x:c r="N345" s="233" t="n">
        <x:v>0</x:v>
      </x:c>
      <x:c r="O345" s="233" t="str">
        <x:v>DRAFT_ORDINAL_MAPPING</x:v>
      </x:c>
      <x:c r="P345" s="233" t="str">
        <x:v>VERIFIED</x:v>
      </x:c>
      <x:c r="Q345" s="235" t="str"/>
      <x:c r="R345" s="235" t="str"/>
      <x:c r="S345" s="233" t="str">
        <x:v>ILO_SCORE25</x:v>
      </x:c>
      <x:c r="T345" s="233" t="str">
        <x:v>WP140 online Annex, Table A1</x:v>
      </x:c>
      <x:c r="U345" s="235" t="str">
        <x:v>PENDING</x:v>
      </x:c>
      <x:c r="V345" s="235" t="str">
        <x:v>Codex</x:v>
      </x:c>
      <x:c r="W345" s="297" t="str">
        <x:v>KBJI–ISCO belum dipetakan; skor 0–5 adalah transformasi ordinal draft.</x:v>
      </x:c>
    </x:row>
    <x:row r="346">
      <x:c r="A346" s="293" t="str"/>
      <x:c r="B346" s="294" t="str"/>
      <x:c r="C346" s="235" t="str"/>
      <x:c r="D346" s="295" t="str">
        <x:v>8152</x:v>
      </x:c>
      <x:c r="E346" s="233" t="str">
        <x:v>Weaving and Knitting Machine Operators</x:v>
      </x:c>
      <x:c r="F346" s="233" t="str">
        <x:v>UNRESOLVED</x:v>
      </x:c>
      <x:c r="G346" s="233"/>
      <x:c r="H346" s="233" t="str"/>
      <x:c r="I346" s="233"/>
      <x:c r="J346" s="233" t="str">
        <x:v>PENDING</x:v>
      </x:c>
      <x:c r="K346" s="233" t="str">
        <x:v>Not Exposed</x:v>
      </x:c>
      <x:c r="L346" s="296" t="n">
        <x:v>0.16</x:v>
      </x:c>
      <x:c r="M346" s="296" t="n">
        <x:v>0.03</x:v>
      </x:c>
      <x:c r="N346" s="233" t="n">
        <x:v>0</x:v>
      </x:c>
      <x:c r="O346" s="233" t="str">
        <x:v>DRAFT_ORDINAL_MAPPING</x:v>
      </x:c>
      <x:c r="P346" s="233" t="str">
        <x:v>VERIFIED</x:v>
      </x:c>
      <x:c r="Q346" s="235" t="str"/>
      <x:c r="R346" s="235" t="str"/>
      <x:c r="S346" s="233" t="str">
        <x:v>ILO_SCORE25</x:v>
      </x:c>
      <x:c r="T346" s="233" t="str">
        <x:v>WP140 online Annex, Table A1</x:v>
      </x:c>
      <x:c r="U346" s="235" t="str">
        <x:v>PENDING</x:v>
      </x:c>
      <x:c r="V346" s="235" t="str">
        <x:v>Codex</x:v>
      </x:c>
      <x:c r="W346" s="297" t="str">
        <x:v>KBJI–ISCO belum dipetakan; skor 0–5 adalah transformasi ordinal draft.</x:v>
      </x:c>
    </x:row>
    <x:row r="347">
      <x:c r="A347" s="293" t="str"/>
      <x:c r="B347" s="294" t="str"/>
      <x:c r="C347" s="235" t="str"/>
      <x:c r="D347" s="295" t="str">
        <x:v>8156</x:v>
      </x:c>
      <x:c r="E347" s="233" t="str">
        <x:v>Shoemaking and Related Machine Operators</x:v>
      </x:c>
      <x:c r="F347" s="233" t="str">
        <x:v>UNRESOLVED</x:v>
      </x:c>
      <x:c r="G347" s="233"/>
      <x:c r="H347" s="233" t="str"/>
      <x:c r="I347" s="233"/>
      <x:c r="J347" s="233" t="str">
        <x:v>PENDING</x:v>
      </x:c>
      <x:c r="K347" s="233" t="str">
        <x:v>Not Exposed</x:v>
      </x:c>
      <x:c r="L347" s="296" t="n">
        <x:v>0.16</x:v>
      </x:c>
      <x:c r="M347" s="296" t="n">
        <x:v>0.02</x:v>
      </x:c>
      <x:c r="N347" s="233" t="n">
        <x:v>0</x:v>
      </x:c>
      <x:c r="O347" s="233" t="str">
        <x:v>DRAFT_ORDINAL_MAPPING</x:v>
      </x:c>
      <x:c r="P347" s="233" t="str">
        <x:v>VERIFIED</x:v>
      </x:c>
      <x:c r="Q347" s="235" t="str"/>
      <x:c r="R347" s="235" t="str"/>
      <x:c r="S347" s="233" t="str">
        <x:v>ILO_SCORE25</x:v>
      </x:c>
      <x:c r="T347" s="233" t="str">
        <x:v>WP140 online Annex, Table A1</x:v>
      </x:c>
      <x:c r="U347" s="235" t="str">
        <x:v>PENDING</x:v>
      </x:c>
      <x:c r="V347" s="235" t="str">
        <x:v>Codex</x:v>
      </x:c>
      <x:c r="W347" s="297" t="str">
        <x:v>KBJI–ISCO belum dipetakan; skor 0–5 adalah transformasi ordinal draft.</x:v>
      </x:c>
    </x:row>
    <x:row r="348">
      <x:c r="A348" s="293" t="str"/>
      <x:c r="B348" s="294" t="str"/>
      <x:c r="C348" s="235" t="str"/>
      <x:c r="D348" s="295" t="str">
        <x:v>8157</x:v>
      </x:c>
      <x:c r="E348" s="233" t="str">
        <x:v>Laundry Machine Operators</x:v>
      </x:c>
      <x:c r="F348" s="233" t="str">
        <x:v>UNRESOLVED</x:v>
      </x:c>
      <x:c r="G348" s="233"/>
      <x:c r="H348" s="233" t="str"/>
      <x:c r="I348" s="233"/>
      <x:c r="J348" s="233" t="str">
        <x:v>PENDING</x:v>
      </x:c>
      <x:c r="K348" s="233" t="str">
        <x:v>Not Exposed</x:v>
      </x:c>
      <x:c r="L348" s="296" t="n">
        <x:v>0.16</x:v>
      </x:c>
      <x:c r="M348" s="296" t="n">
        <x:v>0.03</x:v>
      </x:c>
      <x:c r="N348" s="233" t="n">
        <x:v>0</x:v>
      </x:c>
      <x:c r="O348" s="233" t="str">
        <x:v>DRAFT_ORDINAL_MAPPING</x:v>
      </x:c>
      <x:c r="P348" s="233" t="str">
        <x:v>VERIFIED</x:v>
      </x:c>
      <x:c r="Q348" s="235" t="str"/>
      <x:c r="R348" s="235" t="str"/>
      <x:c r="S348" s="233" t="str">
        <x:v>ILO_SCORE25</x:v>
      </x:c>
      <x:c r="T348" s="233" t="str">
        <x:v>WP140 online Annex, Table A1</x:v>
      </x:c>
      <x:c r="U348" s="235" t="str">
        <x:v>PENDING</x:v>
      </x:c>
      <x:c r="V348" s="235" t="str">
        <x:v>Codex</x:v>
      </x:c>
      <x:c r="W348" s="297" t="str">
        <x:v>KBJI–ISCO belum dipetakan; skor 0–5 adalah transformasi ordinal draft.</x:v>
      </x:c>
    </x:row>
    <x:row r="349">
      <x:c r="A349" s="293" t="str"/>
      <x:c r="B349" s="294" t="str"/>
      <x:c r="C349" s="235" t="str"/>
      <x:c r="D349" s="295" t="str">
        <x:v>8159</x:v>
      </x:c>
      <x:c r="E349" s="233" t="str">
        <x:v>Textile, Fur and Leather Products Machine Operators Not Elsewhere Classified</x:v>
      </x:c>
      <x:c r="F349" s="233" t="str">
        <x:v>UNRESOLVED</x:v>
      </x:c>
      <x:c r="G349" s="233"/>
      <x:c r="H349" s="233" t="str"/>
      <x:c r="I349" s="233"/>
      <x:c r="J349" s="233" t="str">
        <x:v>PENDING</x:v>
      </x:c>
      <x:c r="K349" s="233" t="str">
        <x:v>Not Exposed</x:v>
      </x:c>
      <x:c r="L349" s="296" t="n">
        <x:v>0.16</x:v>
      </x:c>
      <x:c r="M349" s="296" t="n">
        <x:v>0.01</x:v>
      </x:c>
      <x:c r="N349" s="233" t="n">
        <x:v>0</x:v>
      </x:c>
      <x:c r="O349" s="233" t="str">
        <x:v>DRAFT_ORDINAL_MAPPING</x:v>
      </x:c>
      <x:c r="P349" s="233" t="str">
        <x:v>VERIFIED</x:v>
      </x:c>
      <x:c r="Q349" s="235" t="str"/>
      <x:c r="R349" s="235" t="str"/>
      <x:c r="S349" s="233" t="str">
        <x:v>ILO_SCORE25</x:v>
      </x:c>
      <x:c r="T349" s="233" t="str">
        <x:v>WP140 online Annex, Table A1</x:v>
      </x:c>
      <x:c r="U349" s="235" t="str">
        <x:v>PENDING</x:v>
      </x:c>
      <x:c r="V349" s="235" t="str">
        <x:v>Codex</x:v>
      </x:c>
      <x:c r="W349" s="297" t="str">
        <x:v>KBJI–ISCO belum dipetakan; skor 0–5 adalah transformasi ordinal draft.</x:v>
      </x:c>
    </x:row>
    <x:row r="350">
      <x:c r="A350" s="293" t="str"/>
      <x:c r="B350" s="294" t="str"/>
      <x:c r="C350" s="235" t="str"/>
      <x:c r="D350" s="295" t="str">
        <x:v>2261</x:v>
      </x:c>
      <x:c r="E350" s="233" t="str">
        <x:v>Dentists</x:v>
      </x:c>
      <x:c r="F350" s="233" t="str">
        <x:v>UNRESOLVED</x:v>
      </x:c>
      <x:c r="G350" s="233"/>
      <x:c r="H350" s="233" t="str"/>
      <x:c r="I350" s="233"/>
      <x:c r="J350" s="233" t="str">
        <x:v>PENDING</x:v>
      </x:c>
      <x:c r="K350" s="233" t="str">
        <x:v>Not Exposed</x:v>
      </x:c>
      <x:c r="L350" s="296" t="n">
        <x:v>0.15</x:v>
      </x:c>
      <x:c r="M350" s="296" t="n">
        <x:v>0.06</x:v>
      </x:c>
      <x:c r="N350" s="233" t="n">
        <x:v>0</x:v>
      </x:c>
      <x:c r="O350" s="233" t="str">
        <x:v>DRAFT_ORDINAL_MAPPING</x:v>
      </x:c>
      <x:c r="P350" s="233" t="str">
        <x:v>VERIFIED</x:v>
      </x:c>
      <x:c r="Q350" s="235" t="str"/>
      <x:c r="R350" s="235" t="str"/>
      <x:c r="S350" s="233" t="str">
        <x:v>ILO_SCORE25</x:v>
      </x:c>
      <x:c r="T350" s="233" t="str">
        <x:v>WP140 online Annex, Table A1</x:v>
      </x:c>
      <x:c r="U350" s="235" t="str">
        <x:v>PENDING</x:v>
      </x:c>
      <x:c r="V350" s="235" t="str">
        <x:v>Codex</x:v>
      </x:c>
      <x:c r="W350" s="297" t="str">
        <x:v>KBJI–ISCO belum dipetakan; skor 0–5 adalah transformasi ordinal draft.</x:v>
      </x:c>
    </x:row>
    <x:row r="351">
      <x:c r="A351" s="293" t="str"/>
      <x:c r="B351" s="294" t="str"/>
      <x:c r="C351" s="235" t="str"/>
      <x:c r="D351" s="295" t="str">
        <x:v>5329</x:v>
      </x:c>
      <x:c r="E351" s="233" t="str">
        <x:v>Personal Care Workers in Health Services Not Elsewhere Classified</x:v>
      </x:c>
      <x:c r="F351" s="233" t="str">
        <x:v>UNRESOLVED</x:v>
      </x:c>
      <x:c r="G351" s="233"/>
      <x:c r="H351" s="233" t="str"/>
      <x:c r="I351" s="233"/>
      <x:c r="J351" s="233" t="str">
        <x:v>PENDING</x:v>
      </x:c>
      <x:c r="K351" s="233" t="str">
        <x:v>Not Exposed</x:v>
      </x:c>
      <x:c r="L351" s="296" t="n">
        <x:v>0.15</x:v>
      </x:c>
      <x:c r="M351" s="296" t="n">
        <x:v>0.03</x:v>
      </x:c>
      <x:c r="N351" s="233" t="n">
        <x:v>0</x:v>
      </x:c>
      <x:c r="O351" s="233" t="str">
        <x:v>DRAFT_ORDINAL_MAPPING</x:v>
      </x:c>
      <x:c r="P351" s="233" t="str">
        <x:v>VERIFIED</x:v>
      </x:c>
      <x:c r="Q351" s="235" t="str"/>
      <x:c r="R351" s="235" t="str"/>
      <x:c r="S351" s="233" t="str">
        <x:v>ILO_SCORE25</x:v>
      </x:c>
      <x:c r="T351" s="233" t="str">
        <x:v>WP140 online Annex, Table A1</x:v>
      </x:c>
      <x:c r="U351" s="235" t="str">
        <x:v>PENDING</x:v>
      </x:c>
      <x:c r="V351" s="235" t="str">
        <x:v>Codex</x:v>
      </x:c>
      <x:c r="W351" s="297" t="str">
        <x:v>KBJI–ISCO belum dipetakan; skor 0–5 adalah transformasi ordinal draft.</x:v>
      </x:c>
    </x:row>
    <x:row r="352">
      <x:c r="A352" s="293" t="str"/>
      <x:c r="B352" s="294" t="str"/>
      <x:c r="C352" s="235" t="str"/>
      <x:c r="D352" s="295" t="str">
        <x:v>7413</x:v>
      </x:c>
      <x:c r="E352" s="233" t="str">
        <x:v>Electrical Line Installers and Repairers</x:v>
      </x:c>
      <x:c r="F352" s="233" t="str">
        <x:v>UNRESOLVED</x:v>
      </x:c>
      <x:c r="G352" s="233"/>
      <x:c r="H352" s="233" t="str"/>
      <x:c r="I352" s="233"/>
      <x:c r="J352" s="233" t="str">
        <x:v>PENDING</x:v>
      </x:c>
      <x:c r="K352" s="233" t="str">
        <x:v>Not Exposed</x:v>
      </x:c>
      <x:c r="L352" s="296" t="n">
        <x:v>0.15</x:v>
      </x:c>
      <x:c r="M352" s="296" t="n">
        <x:v>0.08</x:v>
      </x:c>
      <x:c r="N352" s="233" t="n">
        <x:v>0</x:v>
      </x:c>
      <x:c r="O352" s="233" t="str">
        <x:v>DRAFT_ORDINAL_MAPPING</x:v>
      </x:c>
      <x:c r="P352" s="233" t="str">
        <x:v>VERIFIED</x:v>
      </x:c>
      <x:c r="Q352" s="235" t="str"/>
      <x:c r="R352" s="235" t="str"/>
      <x:c r="S352" s="233" t="str">
        <x:v>ILO_SCORE25</x:v>
      </x:c>
      <x:c r="T352" s="233" t="str">
        <x:v>WP140 online Annex, Table A1</x:v>
      </x:c>
      <x:c r="U352" s="235" t="str">
        <x:v>PENDING</x:v>
      </x:c>
      <x:c r="V352" s="235" t="str">
        <x:v>Codex</x:v>
      </x:c>
      <x:c r="W352" s="297" t="str">
        <x:v>KBJI–ISCO belum dipetakan; skor 0–5 adalah transformasi ordinal draft.</x:v>
      </x:c>
    </x:row>
    <x:row r="353">
      <x:c r="A353" s="293" t="str"/>
      <x:c r="B353" s="294" t="str"/>
      <x:c r="C353" s="235" t="str"/>
      <x:c r="D353" s="295" t="str">
        <x:v>7514</x:v>
      </x:c>
      <x:c r="E353" s="233" t="str">
        <x:v>Fruit, Vegetable and Related Preservers</x:v>
      </x:c>
      <x:c r="F353" s="233" t="str">
        <x:v>UNRESOLVED</x:v>
      </x:c>
      <x:c r="G353" s="233"/>
      <x:c r="H353" s="233" t="str"/>
      <x:c r="I353" s="233"/>
      <x:c r="J353" s="233" t="str">
        <x:v>PENDING</x:v>
      </x:c>
      <x:c r="K353" s="233" t="str">
        <x:v>Not Exposed</x:v>
      </x:c>
      <x:c r="L353" s="296" t="n">
        <x:v>0.15</x:v>
      </x:c>
      <x:c r="M353" s="296" t="n">
        <x:v>0.04</x:v>
      </x:c>
      <x:c r="N353" s="233" t="n">
        <x:v>0</x:v>
      </x:c>
      <x:c r="O353" s="233" t="str">
        <x:v>DRAFT_ORDINAL_MAPPING</x:v>
      </x:c>
      <x:c r="P353" s="233" t="str">
        <x:v>VERIFIED</x:v>
      </x:c>
      <x:c r="Q353" s="235" t="str"/>
      <x:c r="R353" s="235" t="str"/>
      <x:c r="S353" s="233" t="str">
        <x:v>ILO_SCORE25</x:v>
      </x:c>
      <x:c r="T353" s="233" t="str">
        <x:v>WP140 online Annex, Table A1</x:v>
      </x:c>
      <x:c r="U353" s="235" t="str">
        <x:v>PENDING</x:v>
      </x:c>
      <x:c r="V353" s="235" t="str">
        <x:v>Codex</x:v>
      </x:c>
      <x:c r="W353" s="297" t="str">
        <x:v>KBJI–ISCO belum dipetakan; skor 0–5 adalah transformasi ordinal draft.</x:v>
      </x:c>
    </x:row>
    <x:row r="354">
      <x:c r="A354" s="293" t="str"/>
      <x:c r="B354" s="294" t="str"/>
      <x:c r="C354" s="235" t="str"/>
      <x:c r="D354" s="295" t="str">
        <x:v>7531</x:v>
      </x:c>
      <x:c r="E354" s="233" t="str">
        <x:v>Tailors, Dressmakers, Furriers and Hatters</x:v>
      </x:c>
      <x:c r="F354" s="233" t="str">
        <x:v>UNRESOLVED</x:v>
      </x:c>
      <x:c r="G354" s="233"/>
      <x:c r="H354" s="233" t="str"/>
      <x:c r="I354" s="233"/>
      <x:c r="J354" s="233" t="str">
        <x:v>PENDING</x:v>
      </x:c>
      <x:c r="K354" s="233" t="str">
        <x:v>Not Exposed</x:v>
      </x:c>
      <x:c r="L354" s="296" t="n">
        <x:v>0.15</x:v>
      </x:c>
      <x:c r="M354" s="296" t="n">
        <x:v>0.05</x:v>
      </x:c>
      <x:c r="N354" s="233" t="n">
        <x:v>0</x:v>
      </x:c>
      <x:c r="O354" s="233" t="str">
        <x:v>DRAFT_ORDINAL_MAPPING</x:v>
      </x:c>
      <x:c r="P354" s="233" t="str">
        <x:v>VERIFIED</x:v>
      </x:c>
      <x:c r="Q354" s="235" t="str"/>
      <x:c r="R354" s="235" t="str"/>
      <x:c r="S354" s="233" t="str">
        <x:v>ILO_SCORE25</x:v>
      </x:c>
      <x:c r="T354" s="233" t="str">
        <x:v>WP140 online Annex, Table A1</x:v>
      </x:c>
      <x:c r="U354" s="235" t="str">
        <x:v>PENDING</x:v>
      </x:c>
      <x:c r="V354" s="235" t="str">
        <x:v>Codex</x:v>
      </x:c>
      <x:c r="W354" s="297" t="str">
        <x:v>KBJI–ISCO belum dipetakan; skor 0–5 adalah transformasi ordinal draft.</x:v>
      </x:c>
    </x:row>
    <x:row r="355">
      <x:c r="A355" s="293" t="str"/>
      <x:c r="B355" s="294" t="str"/>
      <x:c r="C355" s="235" t="str"/>
      <x:c r="D355" s="295" t="str">
        <x:v>8151</x:v>
      </x:c>
      <x:c r="E355" s="233" t="str">
        <x:v>Fibre Preparing, Spinning and Winding Machine Operators</x:v>
      </x:c>
      <x:c r="F355" s="233" t="str">
        <x:v>UNRESOLVED</x:v>
      </x:c>
      <x:c r="G355" s="233"/>
      <x:c r="H355" s="233" t="str"/>
      <x:c r="I355" s="233"/>
      <x:c r="J355" s="233" t="str">
        <x:v>PENDING</x:v>
      </x:c>
      <x:c r="K355" s="233" t="str">
        <x:v>Not Exposed</x:v>
      </x:c>
      <x:c r="L355" s="296" t="n">
        <x:v>0.15</x:v>
      </x:c>
      <x:c r="M355" s="296" t="n">
        <x:v>0.02</x:v>
      </x:c>
      <x:c r="N355" s="233" t="n">
        <x:v>0</x:v>
      </x:c>
      <x:c r="O355" s="233" t="str">
        <x:v>DRAFT_ORDINAL_MAPPING</x:v>
      </x:c>
      <x:c r="P355" s="233" t="str">
        <x:v>VERIFIED</x:v>
      </x:c>
      <x:c r="Q355" s="235" t="str"/>
      <x:c r="R355" s="235" t="str"/>
      <x:c r="S355" s="233" t="str">
        <x:v>ILO_SCORE25</x:v>
      </x:c>
      <x:c r="T355" s="233" t="str">
        <x:v>WP140 online Annex, Table A1</x:v>
      </x:c>
      <x:c r="U355" s="235" t="str">
        <x:v>PENDING</x:v>
      </x:c>
      <x:c r="V355" s="235" t="str">
        <x:v>Codex</x:v>
      </x:c>
      <x:c r="W355" s="297" t="str">
        <x:v>KBJI–ISCO belum dipetakan; skor 0–5 adalah transformasi ordinal draft.</x:v>
      </x:c>
    </x:row>
    <x:row r="356">
      <x:c r="A356" s="293" t="str"/>
      <x:c r="B356" s="294" t="str"/>
      <x:c r="C356" s="235" t="str"/>
      <x:c r="D356" s="295" t="str">
        <x:v>8153</x:v>
      </x:c>
      <x:c r="E356" s="233" t="str">
        <x:v>Sewing Machine Operators</x:v>
      </x:c>
      <x:c r="F356" s="233" t="str">
        <x:v>UNRESOLVED</x:v>
      </x:c>
      <x:c r="G356" s="233"/>
      <x:c r="H356" s="233" t="str"/>
      <x:c r="I356" s="233"/>
      <x:c r="J356" s="233" t="str">
        <x:v>PENDING</x:v>
      </x:c>
      <x:c r="K356" s="233" t="str">
        <x:v>Not Exposed</x:v>
      </x:c>
      <x:c r="L356" s="296" t="n">
        <x:v>0.15</x:v>
      </x:c>
      <x:c r="M356" s="296" t="n">
        <x:v>0.03</x:v>
      </x:c>
      <x:c r="N356" s="233" t="n">
        <x:v>0</x:v>
      </x:c>
      <x:c r="O356" s="233" t="str">
        <x:v>DRAFT_ORDINAL_MAPPING</x:v>
      </x:c>
      <x:c r="P356" s="233" t="str">
        <x:v>VERIFIED</x:v>
      </x:c>
      <x:c r="Q356" s="235" t="str"/>
      <x:c r="R356" s="235" t="str"/>
      <x:c r="S356" s="233" t="str">
        <x:v>ILO_SCORE25</x:v>
      </x:c>
      <x:c r="T356" s="233" t="str">
        <x:v>WP140 online Annex, Table A1</x:v>
      </x:c>
      <x:c r="U356" s="235" t="str">
        <x:v>PENDING</x:v>
      </x:c>
      <x:c r="V356" s="235" t="str">
        <x:v>Codex</x:v>
      </x:c>
      <x:c r="W356" s="297" t="str">
        <x:v>KBJI–ISCO belum dipetakan; skor 0–5 adalah transformasi ordinal draft.</x:v>
      </x:c>
    </x:row>
    <x:row r="357">
      <x:c r="A357" s="293" t="str"/>
      <x:c r="B357" s="294" t="str"/>
      <x:c r="C357" s="235" t="str"/>
      <x:c r="D357" s="295" t="str">
        <x:v>8155</x:v>
      </x:c>
      <x:c r="E357" s="233" t="str">
        <x:v>Fur and Leather Preparing Machine Operators</x:v>
      </x:c>
      <x:c r="F357" s="233" t="str">
        <x:v>UNRESOLVED</x:v>
      </x:c>
      <x:c r="G357" s="233"/>
      <x:c r="H357" s="233" t="str"/>
      <x:c r="I357" s="233"/>
      <x:c r="J357" s="233" t="str">
        <x:v>PENDING</x:v>
      </x:c>
      <x:c r="K357" s="233" t="str">
        <x:v>Not Exposed</x:v>
      </x:c>
      <x:c r="L357" s="296" t="n">
        <x:v>0.15</x:v>
      </x:c>
      <x:c r="M357" s="296" t="n">
        <x:v>0.02</x:v>
      </x:c>
      <x:c r="N357" s="233" t="n">
        <x:v>0</x:v>
      </x:c>
      <x:c r="O357" s="233" t="str">
        <x:v>DRAFT_ORDINAL_MAPPING</x:v>
      </x:c>
      <x:c r="P357" s="233" t="str">
        <x:v>VERIFIED</x:v>
      </x:c>
      <x:c r="Q357" s="235" t="str"/>
      <x:c r="R357" s="235" t="str"/>
      <x:c r="S357" s="233" t="str">
        <x:v>ILO_SCORE25</x:v>
      </x:c>
      <x:c r="T357" s="233" t="str">
        <x:v>WP140 online Annex, Table A1</x:v>
      </x:c>
      <x:c r="U357" s="235" t="str">
        <x:v>PENDING</x:v>
      </x:c>
      <x:c r="V357" s="235" t="str">
        <x:v>Codex</x:v>
      </x:c>
      <x:c r="W357" s="297" t="str">
        <x:v>KBJI–ISCO belum dipetakan; skor 0–5 adalah transformasi ordinal draft.</x:v>
      </x:c>
    </x:row>
    <x:row r="358">
      <x:c r="A358" s="293" t="str"/>
      <x:c r="B358" s="294" t="str"/>
      <x:c r="C358" s="235" t="str"/>
      <x:c r="D358" s="295" t="str">
        <x:v>8160</x:v>
      </x:c>
      <x:c r="E358" s="233" t="str">
        <x:v>Food and Related Products Machine Operators</x:v>
      </x:c>
      <x:c r="F358" s="233" t="str">
        <x:v>UNRESOLVED</x:v>
      </x:c>
      <x:c r="G358" s="233"/>
      <x:c r="H358" s="233" t="str"/>
      <x:c r="I358" s="233"/>
      <x:c r="J358" s="233" t="str">
        <x:v>PENDING</x:v>
      </x:c>
      <x:c r="K358" s="233" t="str">
        <x:v>Not Exposed</x:v>
      </x:c>
      <x:c r="L358" s="296" t="n">
        <x:v>0.15</x:v>
      </x:c>
      <x:c r="M358" s="296" t="n">
        <x:v>0.03</x:v>
      </x:c>
      <x:c r="N358" s="233" t="n">
        <x:v>0</x:v>
      </x:c>
      <x:c r="O358" s="233" t="str">
        <x:v>DRAFT_ORDINAL_MAPPING</x:v>
      </x:c>
      <x:c r="P358" s="233" t="str">
        <x:v>VERIFIED</x:v>
      </x:c>
      <x:c r="Q358" s="235" t="str"/>
      <x:c r="R358" s="235" t="str"/>
      <x:c r="S358" s="233" t="str">
        <x:v>ILO_SCORE25</x:v>
      </x:c>
      <x:c r="T358" s="233" t="str">
        <x:v>WP140 online Annex, Table A1</x:v>
      </x:c>
      <x:c r="U358" s="235" t="str">
        <x:v>PENDING</x:v>
      </x:c>
      <x:c r="V358" s="235" t="str">
        <x:v>Codex</x:v>
      </x:c>
      <x:c r="W358" s="297" t="str">
        <x:v>KBJI–ISCO belum dipetakan; skor 0–5 adalah transformasi ordinal draft.</x:v>
      </x:c>
    </x:row>
    <x:row r="359">
      <x:c r="A359" s="293" t="str"/>
      <x:c r="B359" s="294" t="str"/>
      <x:c r="C359" s="235" t="str"/>
      <x:c r="D359" s="295" t="str">
        <x:v>2250</x:v>
      </x:c>
      <x:c r="E359" s="233" t="str">
        <x:v>Veterinarians</x:v>
      </x:c>
      <x:c r="F359" s="233" t="str">
        <x:v>UNRESOLVED</x:v>
      </x:c>
      <x:c r="G359" s="233"/>
      <x:c r="H359" s="233" t="str"/>
      <x:c r="I359" s="233"/>
      <x:c r="J359" s="233" t="str">
        <x:v>PENDING</x:v>
      </x:c>
      <x:c r="K359" s="233" t="str">
        <x:v>Not Exposed</x:v>
      </x:c>
      <x:c r="L359" s="296" t="n">
        <x:v>0.14</x:v>
      </x:c>
      <x:c r="M359" s="296" t="n">
        <x:v>0.05</x:v>
      </x:c>
      <x:c r="N359" s="233" t="n">
        <x:v>0</x:v>
      </x:c>
      <x:c r="O359" s="233" t="str">
        <x:v>DRAFT_ORDINAL_MAPPING</x:v>
      </x:c>
      <x:c r="P359" s="233" t="str">
        <x:v>VERIFIED</x:v>
      </x:c>
      <x:c r="Q359" s="235" t="str"/>
      <x:c r="R359" s="235" t="str"/>
      <x:c r="S359" s="233" t="str">
        <x:v>ILO_SCORE25</x:v>
      </x:c>
      <x:c r="T359" s="233" t="str">
        <x:v>WP140 online Annex, Table A1</x:v>
      </x:c>
      <x:c r="U359" s="235" t="str">
        <x:v>PENDING</x:v>
      </x:c>
      <x:c r="V359" s="235" t="str">
        <x:v>Codex</x:v>
      </x:c>
      <x:c r="W359" s="297" t="str">
        <x:v>KBJI–ISCO belum dipetakan; skor 0–5 adalah transformasi ordinal draft.</x:v>
      </x:c>
    </x:row>
    <x:row r="360">
      <x:c r="A360" s="293" t="str"/>
      <x:c r="B360" s="294" t="str"/>
      <x:c r="C360" s="235" t="str"/>
      <x:c r="D360" s="295" t="str">
        <x:v>3240</x:v>
      </x:c>
      <x:c r="E360" s="233" t="str">
        <x:v>Veterinary Technicians and Assistants</x:v>
      </x:c>
      <x:c r="F360" s="233" t="str">
        <x:v>UNRESOLVED</x:v>
      </x:c>
      <x:c r="G360" s="233"/>
      <x:c r="H360" s="233" t="str"/>
      <x:c r="I360" s="233"/>
      <x:c r="J360" s="233" t="str">
        <x:v>PENDING</x:v>
      </x:c>
      <x:c r="K360" s="233" t="str">
        <x:v>Not Exposed</x:v>
      </x:c>
      <x:c r="L360" s="296" t="n">
        <x:v>0.14</x:v>
      </x:c>
      <x:c r="M360" s="296" t="n">
        <x:v>0.02</x:v>
      </x:c>
      <x:c r="N360" s="233" t="n">
        <x:v>0</x:v>
      </x:c>
      <x:c r="O360" s="233" t="str">
        <x:v>DRAFT_ORDINAL_MAPPING</x:v>
      </x:c>
      <x:c r="P360" s="233" t="str">
        <x:v>VERIFIED</x:v>
      </x:c>
      <x:c r="Q360" s="235" t="str"/>
      <x:c r="R360" s="235" t="str"/>
      <x:c r="S360" s="233" t="str">
        <x:v>ILO_SCORE25</x:v>
      </x:c>
      <x:c r="T360" s="233" t="str">
        <x:v>WP140 online Annex, Table A1</x:v>
      </x:c>
      <x:c r="U360" s="235" t="str">
        <x:v>PENDING</x:v>
      </x:c>
      <x:c r="V360" s="235" t="str">
        <x:v>Codex</x:v>
      </x:c>
      <x:c r="W360" s="297" t="str">
        <x:v>KBJI–ISCO belum dipetakan; skor 0–5 adalah transformasi ordinal draft.</x:v>
      </x:c>
    </x:row>
    <x:row r="361">
      <x:c r="A361" s="293" t="str"/>
      <x:c r="B361" s="294" t="str"/>
      <x:c r="C361" s="235" t="str"/>
      <x:c r="D361" s="295" t="str">
        <x:v>5164</x:v>
      </x:c>
      <x:c r="E361" s="233" t="str">
        <x:v>Pet Groomers and Animal Care Workers</x:v>
      </x:c>
      <x:c r="F361" s="233" t="str">
        <x:v>UNRESOLVED</x:v>
      </x:c>
      <x:c r="G361" s="233"/>
      <x:c r="H361" s="233" t="str"/>
      <x:c r="I361" s="233"/>
      <x:c r="J361" s="233" t="str">
        <x:v>PENDING</x:v>
      </x:c>
      <x:c r="K361" s="233" t="str">
        <x:v>Not Exposed</x:v>
      </x:c>
      <x:c r="L361" s="296" t="n">
        <x:v>0.14</x:v>
      </x:c>
      <x:c r="M361" s="296" t="n">
        <x:v>0.06</x:v>
      </x:c>
      <x:c r="N361" s="233" t="n">
        <x:v>0</x:v>
      </x:c>
      <x:c r="O361" s="233" t="str">
        <x:v>DRAFT_ORDINAL_MAPPING</x:v>
      </x:c>
      <x:c r="P361" s="233" t="str">
        <x:v>VERIFIED</x:v>
      </x:c>
      <x:c r="Q361" s="235" t="str"/>
      <x:c r="R361" s="235" t="str"/>
      <x:c r="S361" s="233" t="str">
        <x:v>ILO_SCORE25</x:v>
      </x:c>
      <x:c r="T361" s="233" t="str">
        <x:v>WP140 online Annex, Table A1</x:v>
      </x:c>
      <x:c r="U361" s="235" t="str">
        <x:v>PENDING</x:v>
      </x:c>
      <x:c r="V361" s="235" t="str">
        <x:v>Codex</x:v>
      </x:c>
      <x:c r="W361" s="297" t="str">
        <x:v>KBJI–ISCO belum dipetakan; skor 0–5 adalah transformasi ordinal draft.</x:v>
      </x:c>
    </x:row>
    <x:row r="362">
      <x:c r="A362" s="293" t="str"/>
      <x:c r="B362" s="294" t="str"/>
      <x:c r="C362" s="235" t="str"/>
      <x:c r="D362" s="295" t="str">
        <x:v>5321</x:v>
      </x:c>
      <x:c r="E362" s="233" t="str">
        <x:v>Health Care Assistants</x:v>
      </x:c>
      <x:c r="F362" s="233" t="str">
        <x:v>UNRESOLVED</x:v>
      </x:c>
      <x:c r="G362" s="233"/>
      <x:c r="H362" s="233" t="str"/>
      <x:c r="I362" s="233"/>
      <x:c r="J362" s="233" t="str">
        <x:v>PENDING</x:v>
      </x:c>
      <x:c r="K362" s="233" t="str">
        <x:v>Not Exposed</x:v>
      </x:c>
      <x:c r="L362" s="296" t="n">
        <x:v>0.14</x:v>
      </x:c>
      <x:c r="M362" s="296" t="n">
        <x:v>0.06</x:v>
      </x:c>
      <x:c r="N362" s="233" t="n">
        <x:v>0</x:v>
      </x:c>
      <x:c r="O362" s="233" t="str">
        <x:v>DRAFT_ORDINAL_MAPPING</x:v>
      </x:c>
      <x:c r="P362" s="233" t="str">
        <x:v>VERIFIED</x:v>
      </x:c>
      <x:c r="Q362" s="235" t="str"/>
      <x:c r="R362" s="235" t="str"/>
      <x:c r="S362" s="233" t="str">
        <x:v>ILO_SCORE25</x:v>
      </x:c>
      <x:c r="T362" s="233" t="str">
        <x:v>WP140 online Annex, Table A1</x:v>
      </x:c>
      <x:c r="U362" s="235" t="str">
        <x:v>PENDING</x:v>
      </x:c>
      <x:c r="V362" s="235" t="str">
        <x:v>Codex</x:v>
      </x:c>
      <x:c r="W362" s="297" t="str">
        <x:v>KBJI–ISCO belum dipetakan; skor 0–5 adalah transformasi ordinal draft.</x:v>
      </x:c>
    </x:row>
    <x:row r="363">
      <x:c r="A363" s="293" t="str"/>
      <x:c r="B363" s="294" t="str"/>
      <x:c r="C363" s="235" t="str"/>
      <x:c r="D363" s="295" t="str">
        <x:v>5412</x:v>
      </x:c>
      <x:c r="E363" s="233" t="str">
        <x:v>Police Officers</x:v>
      </x:c>
      <x:c r="F363" s="233" t="str">
        <x:v>UNRESOLVED</x:v>
      </x:c>
      <x:c r="G363" s="233"/>
      <x:c r="H363" s="233" t="str"/>
      <x:c r="I363" s="233"/>
      <x:c r="J363" s="233" t="str">
        <x:v>PENDING</x:v>
      </x:c>
      <x:c r="K363" s="233" t="str">
        <x:v>Not Exposed</x:v>
      </x:c>
      <x:c r="L363" s="296" t="n">
        <x:v>0.14</x:v>
      </x:c>
      <x:c r="M363" s="296" t="n">
        <x:v>0.03</x:v>
      </x:c>
      <x:c r="N363" s="233" t="n">
        <x:v>0</x:v>
      </x:c>
      <x:c r="O363" s="233" t="str">
        <x:v>DRAFT_ORDINAL_MAPPING</x:v>
      </x:c>
      <x:c r="P363" s="233" t="str">
        <x:v>VERIFIED</x:v>
      </x:c>
      <x:c r="Q363" s="235" t="str"/>
      <x:c r="R363" s="235" t="str"/>
      <x:c r="S363" s="233" t="str">
        <x:v>ILO_SCORE25</x:v>
      </x:c>
      <x:c r="T363" s="233" t="str">
        <x:v>WP140 online Annex, Table A1</x:v>
      </x:c>
      <x:c r="U363" s="235" t="str">
        <x:v>PENDING</x:v>
      </x:c>
      <x:c r="V363" s="235" t="str">
        <x:v>Codex</x:v>
      </x:c>
      <x:c r="W363" s="297" t="str">
        <x:v>KBJI–ISCO belum dipetakan; skor 0–5 adalah transformasi ordinal draft.</x:v>
      </x:c>
    </x:row>
    <x:row r="364">
      <x:c r="A364" s="293" t="str"/>
      <x:c r="B364" s="294" t="str"/>
      <x:c r="C364" s="235" t="str"/>
      <x:c r="D364" s="295" t="str">
        <x:v>5413</x:v>
      </x:c>
      <x:c r="E364" s="233" t="str">
        <x:v>Prison Guards</x:v>
      </x:c>
      <x:c r="F364" s="233" t="str">
        <x:v>UNRESOLVED</x:v>
      </x:c>
      <x:c r="G364" s="233"/>
      <x:c r="H364" s="233" t="str"/>
      <x:c r="I364" s="233"/>
      <x:c r="J364" s="233" t="str">
        <x:v>PENDING</x:v>
      </x:c>
      <x:c r="K364" s="233" t="str">
        <x:v>Not Exposed</x:v>
      </x:c>
      <x:c r="L364" s="296" t="n">
        <x:v>0.14</x:v>
      </x:c>
      <x:c r="M364" s="296" t="n">
        <x:v>0.04</x:v>
      </x:c>
      <x:c r="N364" s="233" t="n">
        <x:v>0</x:v>
      </x:c>
      <x:c r="O364" s="233" t="str">
        <x:v>DRAFT_ORDINAL_MAPPING</x:v>
      </x:c>
      <x:c r="P364" s="233" t="str">
        <x:v>VERIFIED</x:v>
      </x:c>
      <x:c r="Q364" s="235" t="str"/>
      <x:c r="R364" s="235" t="str"/>
      <x:c r="S364" s="233" t="str">
        <x:v>ILO_SCORE25</x:v>
      </x:c>
      <x:c r="T364" s="233" t="str">
        <x:v>WP140 online Annex, Table A1</x:v>
      </x:c>
      <x:c r="U364" s="235" t="str">
        <x:v>PENDING</x:v>
      </x:c>
      <x:c r="V364" s="235" t="str">
        <x:v>Codex</x:v>
      </x:c>
      <x:c r="W364" s="297" t="str">
        <x:v>KBJI–ISCO belum dipetakan; skor 0–5 adalah transformasi ordinal draft.</x:v>
      </x:c>
    </x:row>
    <x:row r="365">
      <x:c r="A365" s="293" t="str"/>
      <x:c r="B365" s="294" t="str"/>
      <x:c r="C365" s="235" t="str"/>
      <x:c r="D365" s="295" t="str">
        <x:v>7111</x:v>
      </x:c>
      <x:c r="E365" s="233" t="str">
        <x:v>House Builders</x:v>
      </x:c>
      <x:c r="F365" s="233" t="str">
        <x:v>UNRESOLVED</x:v>
      </x:c>
      <x:c r="G365" s="233"/>
      <x:c r="H365" s="233" t="str"/>
      <x:c r="I365" s="233"/>
      <x:c r="J365" s="233" t="str">
        <x:v>PENDING</x:v>
      </x:c>
      <x:c r="K365" s="233" t="str">
        <x:v>Not Exposed</x:v>
      </x:c>
      <x:c r="L365" s="296" t="n">
        <x:v>0.14</x:v>
      </x:c>
      <x:c r="M365" s="296" t="n">
        <x:v>0.07</x:v>
      </x:c>
      <x:c r="N365" s="233" t="n">
        <x:v>0</x:v>
      </x:c>
      <x:c r="O365" s="233" t="str">
        <x:v>DRAFT_ORDINAL_MAPPING</x:v>
      </x:c>
      <x:c r="P365" s="233" t="str">
        <x:v>VERIFIED</x:v>
      </x:c>
      <x:c r="Q365" s="235" t="str"/>
      <x:c r="R365" s="235" t="str"/>
      <x:c r="S365" s="233" t="str">
        <x:v>ILO_SCORE25</x:v>
      </x:c>
      <x:c r="T365" s="233" t="str">
        <x:v>WP140 online Annex, Table A1</x:v>
      </x:c>
      <x:c r="U365" s="235" t="str">
        <x:v>PENDING</x:v>
      </x:c>
      <x:c r="V365" s="235" t="str">
        <x:v>Codex</x:v>
      </x:c>
      <x:c r="W365" s="297" t="str">
        <x:v>KBJI–ISCO belum dipetakan; skor 0–5 adalah transformasi ordinal draft.</x:v>
      </x:c>
    </x:row>
    <x:row r="366">
      <x:c r="A366" s="293" t="str"/>
      <x:c r="B366" s="294" t="str"/>
      <x:c r="C366" s="235" t="str"/>
      <x:c r="D366" s="295" t="str">
        <x:v>7125</x:v>
      </x:c>
      <x:c r="E366" s="233" t="str">
        <x:v>Glaziers</x:v>
      </x:c>
      <x:c r="F366" s="233" t="str">
        <x:v>UNRESOLVED</x:v>
      </x:c>
      <x:c r="G366" s="233"/>
      <x:c r="H366" s="233" t="str"/>
      <x:c r="I366" s="233"/>
      <x:c r="J366" s="233" t="str">
        <x:v>PENDING</x:v>
      </x:c>
      <x:c r="K366" s="233" t="str">
        <x:v>Not Exposed</x:v>
      </x:c>
      <x:c r="L366" s="296" t="n">
        <x:v>0.14</x:v>
      </x:c>
      <x:c r="M366" s="296" t="n">
        <x:v>0</x:v>
      </x:c>
      <x:c r="N366" s="233" t="n">
        <x:v>0</x:v>
      </x:c>
      <x:c r="O366" s="233" t="str">
        <x:v>DRAFT_ORDINAL_MAPPING</x:v>
      </x:c>
      <x:c r="P366" s="233" t="str">
        <x:v>VERIFIED</x:v>
      </x:c>
      <x:c r="Q366" s="235" t="str"/>
      <x:c r="R366" s="235" t="str"/>
      <x:c r="S366" s="233" t="str">
        <x:v>ILO_SCORE25</x:v>
      </x:c>
      <x:c r="T366" s="233" t="str">
        <x:v>WP140 online Annex, Table A1</x:v>
      </x:c>
      <x:c r="U366" s="235" t="str">
        <x:v>PENDING</x:v>
      </x:c>
      <x:c r="V366" s="235" t="str">
        <x:v>Codex</x:v>
      </x:c>
      <x:c r="W366" s="297" t="str">
        <x:v>KBJI–ISCO belum dipetakan; skor 0–5 adalah transformasi ordinal draft.</x:v>
      </x:c>
    </x:row>
    <x:row r="367">
      <x:c r="A367" s="293" t="str"/>
      <x:c r="B367" s="294" t="str"/>
      <x:c r="C367" s="235" t="str"/>
      <x:c r="D367" s="295" t="str">
        <x:v>7312</x:v>
      </x:c>
      <x:c r="E367" s="233" t="str">
        <x:v>Musical Instrument Makers and Tuners</x:v>
      </x:c>
      <x:c r="F367" s="233" t="str">
        <x:v>UNRESOLVED</x:v>
      </x:c>
      <x:c r="G367" s="233"/>
      <x:c r="H367" s="233" t="str"/>
      <x:c r="I367" s="233"/>
      <x:c r="J367" s="233" t="str">
        <x:v>PENDING</x:v>
      </x:c>
      <x:c r="K367" s="233" t="str">
        <x:v>Not Exposed</x:v>
      </x:c>
      <x:c r="L367" s="296" t="n">
        <x:v>0.14</x:v>
      </x:c>
      <x:c r="M367" s="296" t="n">
        <x:v>0.02</x:v>
      </x:c>
      <x:c r="N367" s="233" t="n">
        <x:v>0</x:v>
      </x:c>
      <x:c r="O367" s="233" t="str">
        <x:v>DRAFT_ORDINAL_MAPPING</x:v>
      </x:c>
      <x:c r="P367" s="233" t="str">
        <x:v>VERIFIED</x:v>
      </x:c>
      <x:c r="Q367" s="235" t="str"/>
      <x:c r="R367" s="235" t="str"/>
      <x:c r="S367" s="233" t="str">
        <x:v>ILO_SCORE25</x:v>
      </x:c>
      <x:c r="T367" s="233" t="str">
        <x:v>WP140 online Annex, Table A1</x:v>
      </x:c>
      <x:c r="U367" s="235" t="str">
        <x:v>PENDING</x:v>
      </x:c>
      <x:c r="V367" s="235" t="str">
        <x:v>Codex</x:v>
      </x:c>
      <x:c r="W367" s="297" t="str">
        <x:v>KBJI–ISCO belum dipetakan; skor 0–5 adalah transformasi ordinal draft.</x:v>
      </x:c>
    </x:row>
    <x:row r="368">
      <x:c r="A368" s="293" t="str"/>
      <x:c r="B368" s="294" t="str"/>
      <x:c r="C368" s="235" t="str"/>
      <x:c r="D368" s="295" t="str">
        <x:v>7317</x:v>
      </x:c>
      <x:c r="E368" s="233" t="str">
        <x:v>Handicraft Workers in Wood, Basketry and Related Materials</x:v>
      </x:c>
      <x:c r="F368" s="233" t="str">
        <x:v>UNRESOLVED</x:v>
      </x:c>
      <x:c r="G368" s="233"/>
      <x:c r="H368" s="233" t="str"/>
      <x:c r="I368" s="233"/>
      <x:c r="J368" s="233" t="str">
        <x:v>PENDING</x:v>
      </x:c>
      <x:c r="K368" s="233" t="str">
        <x:v>Not Exposed</x:v>
      </x:c>
      <x:c r="L368" s="296" t="n">
        <x:v>0.14</x:v>
      </x:c>
      <x:c r="M368" s="296" t="n">
        <x:v>0.01</x:v>
      </x:c>
      <x:c r="N368" s="233" t="n">
        <x:v>0</x:v>
      </x:c>
      <x:c r="O368" s="233" t="str">
        <x:v>DRAFT_ORDINAL_MAPPING</x:v>
      </x:c>
      <x:c r="P368" s="233" t="str">
        <x:v>VERIFIED</x:v>
      </x:c>
      <x:c r="Q368" s="235" t="str"/>
      <x:c r="R368" s="235" t="str"/>
      <x:c r="S368" s="233" t="str">
        <x:v>ILO_SCORE25</x:v>
      </x:c>
      <x:c r="T368" s="233" t="str">
        <x:v>WP140 online Annex, Table A1</x:v>
      </x:c>
      <x:c r="U368" s="235" t="str">
        <x:v>PENDING</x:v>
      </x:c>
      <x:c r="V368" s="235" t="str">
        <x:v>Codex</x:v>
      </x:c>
      <x:c r="W368" s="297" t="str">
        <x:v>KBJI–ISCO belum dipetakan; skor 0–5 adalah transformasi ordinal draft.</x:v>
      </x:c>
    </x:row>
    <x:row r="369">
      <x:c r="A369" s="293" t="str"/>
      <x:c r="B369" s="294" t="str"/>
      <x:c r="C369" s="235" t="str"/>
      <x:c r="D369" s="295" t="str">
        <x:v>7516</x:v>
      </x:c>
      <x:c r="E369" s="233" t="str">
        <x:v>Tobacco Preparers and Tobacco Products Makers</x:v>
      </x:c>
      <x:c r="F369" s="233" t="str">
        <x:v>UNRESOLVED</x:v>
      </x:c>
      <x:c r="G369" s="233"/>
      <x:c r="H369" s="233" t="str"/>
      <x:c r="I369" s="233"/>
      <x:c r="J369" s="233" t="str">
        <x:v>PENDING</x:v>
      </x:c>
      <x:c r="K369" s="233" t="str">
        <x:v>Not Exposed</x:v>
      </x:c>
      <x:c r="L369" s="296" t="n">
        <x:v>0.14</x:v>
      </x:c>
      <x:c r="M369" s="296" t="n">
        <x:v>0.06</x:v>
      </x:c>
      <x:c r="N369" s="233" t="n">
        <x:v>0</x:v>
      </x:c>
      <x:c r="O369" s="233" t="str">
        <x:v>DRAFT_ORDINAL_MAPPING</x:v>
      </x:c>
      <x:c r="P369" s="233" t="str">
        <x:v>VERIFIED</x:v>
      </x:c>
      <x:c r="Q369" s="235" t="str"/>
      <x:c r="R369" s="235" t="str"/>
      <x:c r="S369" s="233" t="str">
        <x:v>ILO_SCORE25</x:v>
      </x:c>
      <x:c r="T369" s="233" t="str">
        <x:v>WP140 online Annex, Table A1</x:v>
      </x:c>
      <x:c r="U369" s="235" t="str">
        <x:v>PENDING</x:v>
      </x:c>
      <x:c r="V369" s="235" t="str">
        <x:v>Codex</x:v>
      </x:c>
      <x:c r="W369" s="297" t="str">
        <x:v>KBJI–ISCO belum dipetakan; skor 0–5 adalah transformasi ordinal draft.</x:v>
      </x:c>
    </x:row>
    <x:row r="370">
      <x:c r="A370" s="293" t="str"/>
      <x:c r="B370" s="294" t="str"/>
      <x:c r="C370" s="235" t="str"/>
      <x:c r="D370" s="295" t="str">
        <x:v>7549</x:v>
      </x:c>
      <x:c r="E370" s="233" t="str">
        <x:v>Craft and Related Workers not Elsewhere Classified</x:v>
      </x:c>
      <x:c r="F370" s="233" t="str">
        <x:v>UNRESOLVED</x:v>
      </x:c>
      <x:c r="G370" s="233"/>
      <x:c r="H370" s="233" t="str"/>
      <x:c r="I370" s="233"/>
      <x:c r="J370" s="233" t="str">
        <x:v>PENDING</x:v>
      </x:c>
      <x:c r="K370" s="233" t="str">
        <x:v>Not Exposed</x:v>
      </x:c>
      <x:c r="L370" s="296" t="n">
        <x:v>0.14</x:v>
      </x:c>
      <x:c r="M370" s="296" t="n">
        <x:v>0.01</x:v>
      </x:c>
      <x:c r="N370" s="233" t="n">
        <x:v>0</x:v>
      </x:c>
      <x:c r="O370" s="233" t="str">
        <x:v>DRAFT_ORDINAL_MAPPING</x:v>
      </x:c>
      <x:c r="P370" s="233" t="str">
        <x:v>VERIFIED</x:v>
      </x:c>
      <x:c r="Q370" s="235" t="str"/>
      <x:c r="R370" s="235" t="str"/>
      <x:c r="S370" s="233" t="str">
        <x:v>ILO_SCORE25</x:v>
      </x:c>
      <x:c r="T370" s="233" t="str">
        <x:v>WP140 online Annex, Table A1</x:v>
      </x:c>
      <x:c r="U370" s="235" t="str">
        <x:v>PENDING</x:v>
      </x:c>
      <x:c r="V370" s="235" t="str">
        <x:v>Codex</x:v>
      </x:c>
      <x:c r="W370" s="297" t="str">
        <x:v>KBJI–ISCO belum dipetakan; skor 0–5 adalah transformasi ordinal draft.</x:v>
      </x:c>
    </x:row>
    <x:row r="371">
      <x:c r="A371" s="293" t="str"/>
      <x:c r="B371" s="294" t="str"/>
      <x:c r="C371" s="235" t="str"/>
      <x:c r="D371" s="295" t="str">
        <x:v>8172</x:v>
      </x:c>
      <x:c r="E371" s="233" t="str">
        <x:v>Wood Processing Plant Operators</x:v>
      </x:c>
      <x:c r="F371" s="233" t="str">
        <x:v>UNRESOLVED</x:v>
      </x:c>
      <x:c r="G371" s="233"/>
      <x:c r="H371" s="233" t="str"/>
      <x:c r="I371" s="233"/>
      <x:c r="J371" s="233" t="str">
        <x:v>PENDING</x:v>
      </x:c>
      <x:c r="K371" s="233" t="str">
        <x:v>Not Exposed</x:v>
      </x:c>
      <x:c r="L371" s="296" t="n">
        <x:v>0.14</x:v>
      </x:c>
      <x:c r="M371" s="296" t="n">
        <x:v>0.05</x:v>
      </x:c>
      <x:c r="N371" s="233" t="n">
        <x:v>0</x:v>
      </x:c>
      <x:c r="O371" s="233" t="str">
        <x:v>DRAFT_ORDINAL_MAPPING</x:v>
      </x:c>
      <x:c r="P371" s="233" t="str">
        <x:v>VERIFIED</x:v>
      </x:c>
      <x:c r="Q371" s="235" t="str"/>
      <x:c r="R371" s="235" t="str"/>
      <x:c r="S371" s="233" t="str">
        <x:v>ILO_SCORE25</x:v>
      </x:c>
      <x:c r="T371" s="233" t="str">
        <x:v>WP140 online Annex, Table A1</x:v>
      </x:c>
      <x:c r="U371" s="235" t="str">
        <x:v>PENDING</x:v>
      </x:c>
      <x:c r="V371" s="235" t="str">
        <x:v>Codex</x:v>
      </x:c>
      <x:c r="W371" s="297" t="str">
        <x:v>KBJI–ISCO belum dipetakan; skor 0–5 adalah transformasi ordinal draft.</x:v>
      </x:c>
    </x:row>
    <x:row r="372">
      <x:c r="A372" s="293" t="str"/>
      <x:c r="B372" s="294" t="str"/>
      <x:c r="C372" s="235" t="str"/>
      <x:c r="D372" s="295" t="str">
        <x:v>8350</x:v>
      </x:c>
      <x:c r="E372" s="233" t="str">
        <x:v>Ships' Deck Crews and Related Workers</x:v>
      </x:c>
      <x:c r="F372" s="233" t="str">
        <x:v>UNRESOLVED</x:v>
      </x:c>
      <x:c r="G372" s="233"/>
      <x:c r="H372" s="233" t="str"/>
      <x:c r="I372" s="233"/>
      <x:c r="J372" s="233" t="str">
        <x:v>PENDING</x:v>
      </x:c>
      <x:c r="K372" s="233" t="str">
        <x:v>Not Exposed</x:v>
      </x:c>
      <x:c r="L372" s="296" t="n">
        <x:v>0.14</x:v>
      </x:c>
      <x:c r="M372" s="296" t="n">
        <x:v>0.02</x:v>
      </x:c>
      <x:c r="N372" s="233" t="n">
        <x:v>0</x:v>
      </x:c>
      <x:c r="O372" s="233" t="str">
        <x:v>DRAFT_ORDINAL_MAPPING</x:v>
      </x:c>
      <x:c r="P372" s="233" t="str">
        <x:v>VERIFIED</x:v>
      </x:c>
      <x:c r="Q372" s="235" t="str"/>
      <x:c r="R372" s="235" t="str"/>
      <x:c r="S372" s="233" t="str">
        <x:v>ILO_SCORE25</x:v>
      </x:c>
      <x:c r="T372" s="233" t="str">
        <x:v>WP140 online Annex, Table A1</x:v>
      </x:c>
      <x:c r="U372" s="235" t="str">
        <x:v>PENDING</x:v>
      </x:c>
      <x:c r="V372" s="235" t="str">
        <x:v>Codex</x:v>
      </x:c>
      <x:c r="W372" s="297" t="str">
        <x:v>KBJI–ISCO belum dipetakan; skor 0–5 adalah transformasi ordinal draft.</x:v>
      </x:c>
    </x:row>
    <x:row r="373">
      <x:c r="A373" s="293" t="str"/>
      <x:c r="B373" s="294" t="str"/>
      <x:c r="C373" s="235" t="str"/>
      <x:c r="D373" s="295" t="str">
        <x:v>9111</x:v>
      </x:c>
      <x:c r="E373" s="233" t="str">
        <x:v>Domestic Cleaners and Helpers</x:v>
      </x:c>
      <x:c r="F373" s="233" t="str">
        <x:v>UNRESOLVED</x:v>
      </x:c>
      <x:c r="G373" s="233"/>
      <x:c r="H373" s="233" t="str"/>
      <x:c r="I373" s="233"/>
      <x:c r="J373" s="233" t="str">
        <x:v>PENDING</x:v>
      </x:c>
      <x:c r="K373" s="233" t="str">
        <x:v>Not Exposed</x:v>
      </x:c>
      <x:c r="L373" s="296" t="n">
        <x:v>0.14</x:v>
      </x:c>
      <x:c r="M373" s="296" t="n">
        <x:v>0.08</x:v>
      </x:c>
      <x:c r="N373" s="233" t="n">
        <x:v>0</x:v>
      </x:c>
      <x:c r="O373" s="233" t="str">
        <x:v>DRAFT_ORDINAL_MAPPING</x:v>
      </x:c>
      <x:c r="P373" s="233" t="str">
        <x:v>VERIFIED</x:v>
      </x:c>
      <x:c r="Q373" s="235" t="str"/>
      <x:c r="R373" s="235" t="str"/>
      <x:c r="S373" s="233" t="str">
        <x:v>ILO_SCORE25</x:v>
      </x:c>
      <x:c r="T373" s="233" t="str">
        <x:v>WP140 online Annex, Table A1</x:v>
      </x:c>
      <x:c r="U373" s="235" t="str">
        <x:v>PENDING</x:v>
      </x:c>
      <x:c r="V373" s="235" t="str">
        <x:v>Codex</x:v>
      </x:c>
      <x:c r="W373" s="297" t="str">
        <x:v>KBJI–ISCO belum dipetakan; skor 0–5 adalah transformasi ordinal draft.</x:v>
      </x:c>
    </x:row>
    <x:row r="374">
      <x:c r="A374" s="293" t="str"/>
      <x:c r="B374" s="294" t="str"/>
      <x:c r="C374" s="235" t="str"/>
      <x:c r="D374" s="295" t="str">
        <x:v>9121</x:v>
      </x:c>
      <x:c r="E374" s="233" t="str">
        <x:v>Hand Launderers and Pressers</x:v>
      </x:c>
      <x:c r="F374" s="233" t="str">
        <x:v>UNRESOLVED</x:v>
      </x:c>
      <x:c r="G374" s="233"/>
      <x:c r="H374" s="233" t="str"/>
      <x:c r="I374" s="233"/>
      <x:c r="J374" s="233" t="str">
        <x:v>PENDING</x:v>
      </x:c>
      <x:c r="K374" s="233" t="str">
        <x:v>Not Exposed</x:v>
      </x:c>
      <x:c r="L374" s="296" t="n">
        <x:v>0.14</x:v>
      </x:c>
      <x:c r="M374" s="296" t="n">
        <x:v>0.03</x:v>
      </x:c>
      <x:c r="N374" s="233" t="n">
        <x:v>0</x:v>
      </x:c>
      <x:c r="O374" s="233" t="str">
        <x:v>DRAFT_ORDINAL_MAPPING</x:v>
      </x:c>
      <x:c r="P374" s="233" t="str">
        <x:v>VERIFIED</x:v>
      </x:c>
      <x:c r="Q374" s="235" t="str"/>
      <x:c r="R374" s="235" t="str"/>
      <x:c r="S374" s="233" t="str">
        <x:v>ILO_SCORE25</x:v>
      </x:c>
      <x:c r="T374" s="233" t="str">
        <x:v>WP140 online Annex, Table A1</x:v>
      </x:c>
      <x:c r="U374" s="235" t="str">
        <x:v>PENDING</x:v>
      </x:c>
      <x:c r="V374" s="235" t="str">
        <x:v>Codex</x:v>
      </x:c>
      <x:c r="W374" s="297" t="str">
        <x:v>KBJI–ISCO belum dipetakan; skor 0–5 adalah transformasi ordinal draft.</x:v>
      </x:c>
    </x:row>
    <x:row r="375">
      <x:c r="A375" s="293" t="str"/>
      <x:c r="B375" s="294" t="str"/>
      <x:c r="C375" s="235" t="str"/>
      <x:c r="D375" s="295" t="str">
        <x:v>9333</x:v>
      </x:c>
      <x:c r="E375" s="233" t="str">
        <x:v>Freight Handlers</x:v>
      </x:c>
      <x:c r="F375" s="233" t="str">
        <x:v>UNRESOLVED</x:v>
      </x:c>
      <x:c r="G375" s="233"/>
      <x:c r="H375" s="233" t="str"/>
      <x:c r="I375" s="233"/>
      <x:c r="J375" s="233" t="str">
        <x:v>PENDING</x:v>
      </x:c>
      <x:c r="K375" s="233" t="str">
        <x:v>Not Exposed</x:v>
      </x:c>
      <x:c r="L375" s="296" t="n">
        <x:v>0.14</x:v>
      </x:c>
      <x:c r="M375" s="296" t="n">
        <x:v>0.03</x:v>
      </x:c>
      <x:c r="N375" s="233" t="n">
        <x:v>0</x:v>
      </x:c>
      <x:c r="O375" s="233" t="str">
        <x:v>DRAFT_ORDINAL_MAPPING</x:v>
      </x:c>
      <x:c r="P375" s="233" t="str">
        <x:v>VERIFIED</x:v>
      </x:c>
      <x:c r="Q375" s="235" t="str"/>
      <x:c r="R375" s="235" t="str"/>
      <x:c r="S375" s="233" t="str">
        <x:v>ILO_SCORE25</x:v>
      </x:c>
      <x:c r="T375" s="233" t="str">
        <x:v>WP140 online Annex, Table A1</x:v>
      </x:c>
      <x:c r="U375" s="235" t="str">
        <x:v>PENDING</x:v>
      </x:c>
      <x:c r="V375" s="235" t="str">
        <x:v>Codex</x:v>
      </x:c>
      <x:c r="W375" s="297" t="str">
        <x:v>KBJI–ISCO belum dipetakan; skor 0–5 adalah transformasi ordinal draft.</x:v>
      </x:c>
    </x:row>
    <x:row r="376">
      <x:c r="A376" s="293" t="str"/>
      <x:c r="B376" s="294" t="str"/>
      <x:c r="C376" s="235" t="str"/>
      <x:c r="D376" s="295" t="str">
        <x:v>2659</x:v>
      </x:c>
      <x:c r="E376" s="233" t="str">
        <x:v>Creative and Performing Artists Not Elsewhere Classified</x:v>
      </x:c>
      <x:c r="F376" s="233" t="str">
        <x:v>UNRESOLVED</x:v>
      </x:c>
      <x:c r="G376" s="233"/>
      <x:c r="H376" s="233" t="str"/>
      <x:c r="I376" s="233"/>
      <x:c r="J376" s="233" t="str">
        <x:v>PENDING</x:v>
      </x:c>
      <x:c r="K376" s="233" t="str">
        <x:v>Not Exposed</x:v>
      </x:c>
      <x:c r="L376" s="296" t="n">
        <x:v>0.13</x:v>
      </x:c>
      <x:c r="M376" s="296" t="n">
        <x:v>0.06</x:v>
      </x:c>
      <x:c r="N376" s="233" t="n">
        <x:v>0</x:v>
      </x:c>
      <x:c r="O376" s="233" t="str">
        <x:v>DRAFT_ORDINAL_MAPPING</x:v>
      </x:c>
      <x:c r="P376" s="233" t="str">
        <x:v>VERIFIED</x:v>
      </x:c>
      <x:c r="Q376" s="235" t="str"/>
      <x:c r="R376" s="235" t="str"/>
      <x:c r="S376" s="233" t="str">
        <x:v>ILO_SCORE25</x:v>
      </x:c>
      <x:c r="T376" s="233" t="str">
        <x:v>WP140 online Annex, Table A1</x:v>
      </x:c>
      <x:c r="U376" s="235" t="str">
        <x:v>PENDING</x:v>
      </x:c>
      <x:c r="V376" s="235" t="str">
        <x:v>Codex</x:v>
      </x:c>
      <x:c r="W376" s="297" t="str">
        <x:v>KBJI–ISCO belum dipetakan; skor 0–5 adalah transformasi ordinal draft.</x:v>
      </x:c>
    </x:row>
    <x:row r="377">
      <x:c r="A377" s="293" t="str"/>
      <x:c r="B377" s="294" t="str"/>
      <x:c r="C377" s="235" t="str"/>
      <x:c r="D377" s="295" t="str">
        <x:v>6310</x:v>
      </x:c>
      <x:c r="E377" s="233" t="str">
        <x:v>Subsistence Crop Farmers</x:v>
      </x:c>
      <x:c r="F377" s="233" t="str">
        <x:v>UNRESOLVED</x:v>
      </x:c>
      <x:c r="G377" s="233"/>
      <x:c r="H377" s="233" t="str"/>
      <x:c r="I377" s="233"/>
      <x:c r="J377" s="233" t="str">
        <x:v>PENDING</x:v>
      </x:c>
      <x:c r="K377" s="233" t="str">
        <x:v>Not Exposed</x:v>
      </x:c>
      <x:c r="L377" s="296" t="n">
        <x:v>0.13</x:v>
      </x:c>
      <x:c r="M377" s="296" t="n">
        <x:v>0.05</x:v>
      </x:c>
      <x:c r="N377" s="233" t="n">
        <x:v>0</x:v>
      </x:c>
      <x:c r="O377" s="233" t="str">
        <x:v>DRAFT_ORDINAL_MAPPING</x:v>
      </x:c>
      <x:c r="P377" s="233" t="str">
        <x:v>VERIFIED</x:v>
      </x:c>
      <x:c r="Q377" s="235" t="str"/>
      <x:c r="R377" s="235" t="str"/>
      <x:c r="S377" s="233" t="str">
        <x:v>ILO_SCORE25</x:v>
      </x:c>
      <x:c r="T377" s="233" t="str">
        <x:v>WP140 online Annex, Table A1</x:v>
      </x:c>
      <x:c r="U377" s="235" t="str">
        <x:v>PENDING</x:v>
      </x:c>
      <x:c r="V377" s="235" t="str">
        <x:v>Codex</x:v>
      </x:c>
      <x:c r="W377" s="297" t="str">
        <x:v>KBJI–ISCO belum dipetakan; skor 0–5 adalah transformasi ordinal draft.</x:v>
      </x:c>
    </x:row>
    <x:row r="378">
      <x:c r="A378" s="293" t="str"/>
      <x:c r="B378" s="294" t="str"/>
      <x:c r="C378" s="235" t="str"/>
      <x:c r="D378" s="295" t="str">
        <x:v>6320</x:v>
      </x:c>
      <x:c r="E378" s="233" t="str">
        <x:v>Subsistence Livestock Farmers</x:v>
      </x:c>
      <x:c r="F378" s="233" t="str">
        <x:v>UNRESOLVED</x:v>
      </x:c>
      <x:c r="G378" s="233"/>
      <x:c r="H378" s="233" t="str"/>
      <x:c r="I378" s="233"/>
      <x:c r="J378" s="233" t="str">
        <x:v>PENDING</x:v>
      </x:c>
      <x:c r="K378" s="233" t="str">
        <x:v>Not Exposed</x:v>
      </x:c>
      <x:c r="L378" s="296" t="n">
        <x:v>0.13</x:v>
      </x:c>
      <x:c r="M378" s="296" t="n">
        <x:v>0.04</x:v>
      </x:c>
      <x:c r="N378" s="233" t="n">
        <x:v>0</x:v>
      </x:c>
      <x:c r="O378" s="233" t="str">
        <x:v>DRAFT_ORDINAL_MAPPING</x:v>
      </x:c>
      <x:c r="P378" s="233" t="str">
        <x:v>VERIFIED</x:v>
      </x:c>
      <x:c r="Q378" s="235" t="str"/>
      <x:c r="R378" s="235" t="str"/>
      <x:c r="S378" s="233" t="str">
        <x:v>ILO_SCORE25</x:v>
      </x:c>
      <x:c r="T378" s="233" t="str">
        <x:v>WP140 online Annex, Table A1</x:v>
      </x:c>
      <x:c r="U378" s="235" t="str">
        <x:v>PENDING</x:v>
      </x:c>
      <x:c r="V378" s="235" t="str">
        <x:v>Codex</x:v>
      </x:c>
      <x:c r="W378" s="297" t="str">
        <x:v>KBJI–ISCO belum dipetakan; skor 0–5 adalah transformasi ordinal draft.</x:v>
      </x:c>
    </x:row>
    <x:row r="379">
      <x:c r="A379" s="293" t="str"/>
      <x:c r="B379" s="294" t="str"/>
      <x:c r="C379" s="235" t="str"/>
      <x:c r="D379" s="295" t="str">
        <x:v>7115</x:v>
      </x:c>
      <x:c r="E379" s="233" t="str">
        <x:v>Carpenters and Joiners</x:v>
      </x:c>
      <x:c r="F379" s="233" t="str">
        <x:v>UNRESOLVED</x:v>
      </x:c>
      <x:c r="G379" s="233"/>
      <x:c r="H379" s="233" t="str"/>
      <x:c r="I379" s="233"/>
      <x:c r="J379" s="233" t="str">
        <x:v>PENDING</x:v>
      </x:c>
      <x:c r="K379" s="233" t="str">
        <x:v>Not Exposed</x:v>
      </x:c>
      <x:c r="L379" s="296" t="n">
        <x:v>0.13</x:v>
      </x:c>
      <x:c r="M379" s="296" t="n">
        <x:v>0.02</x:v>
      </x:c>
      <x:c r="N379" s="233" t="n">
        <x:v>0</x:v>
      </x:c>
      <x:c r="O379" s="233" t="str">
        <x:v>DRAFT_ORDINAL_MAPPING</x:v>
      </x:c>
      <x:c r="P379" s="233" t="str">
        <x:v>VERIFIED</x:v>
      </x:c>
      <x:c r="Q379" s="235" t="str"/>
      <x:c r="R379" s="235" t="str"/>
      <x:c r="S379" s="233" t="str">
        <x:v>ILO_SCORE25</x:v>
      </x:c>
      <x:c r="T379" s="233" t="str">
        <x:v>WP140 online Annex, Table A1</x:v>
      </x:c>
      <x:c r="U379" s="235" t="str">
        <x:v>PENDING</x:v>
      </x:c>
      <x:c r="V379" s="235" t="str">
        <x:v>Codex</x:v>
      </x:c>
      <x:c r="W379" s="297" t="str">
        <x:v>KBJI–ISCO belum dipetakan; skor 0–5 adalah transformasi ordinal draft.</x:v>
      </x:c>
    </x:row>
    <x:row r="380">
      <x:c r="A380" s="293" t="str"/>
      <x:c r="B380" s="294" t="str"/>
      <x:c r="C380" s="235" t="str"/>
      <x:c r="D380" s="295" t="str">
        <x:v>7121</x:v>
      </x:c>
      <x:c r="E380" s="233" t="str">
        <x:v>Roofers</x:v>
      </x:c>
      <x:c r="F380" s="233" t="str">
        <x:v>UNRESOLVED</x:v>
      </x:c>
      <x:c r="G380" s="233"/>
      <x:c r="H380" s="233" t="str"/>
      <x:c r="I380" s="233"/>
      <x:c r="J380" s="233" t="str">
        <x:v>PENDING</x:v>
      </x:c>
      <x:c r="K380" s="233" t="str">
        <x:v>Not Exposed</x:v>
      </x:c>
      <x:c r="L380" s="296" t="n">
        <x:v>0.13</x:v>
      </x:c>
      <x:c r="M380" s="296" t="n">
        <x:v>0.08</x:v>
      </x:c>
      <x:c r="N380" s="233" t="n">
        <x:v>0</x:v>
      </x:c>
      <x:c r="O380" s="233" t="str">
        <x:v>DRAFT_ORDINAL_MAPPING</x:v>
      </x:c>
      <x:c r="P380" s="233" t="str">
        <x:v>VERIFIED</x:v>
      </x:c>
      <x:c r="Q380" s="235" t="str"/>
      <x:c r="R380" s="235" t="str"/>
      <x:c r="S380" s="233" t="str">
        <x:v>ILO_SCORE25</x:v>
      </x:c>
      <x:c r="T380" s="233" t="str">
        <x:v>WP140 online Annex, Table A1</x:v>
      </x:c>
      <x:c r="U380" s="235" t="str">
        <x:v>PENDING</x:v>
      </x:c>
      <x:c r="V380" s="235" t="str">
        <x:v>Codex</x:v>
      </x:c>
      <x:c r="W380" s="297" t="str">
        <x:v>KBJI–ISCO belum dipetakan; skor 0–5 adalah transformasi ordinal draft.</x:v>
      </x:c>
    </x:row>
    <x:row r="381">
      <x:c r="A381" s="293" t="str"/>
      <x:c r="B381" s="294" t="str"/>
      <x:c r="C381" s="235" t="str"/>
      <x:c r="D381" s="295" t="str">
        <x:v>7124</x:v>
      </x:c>
      <x:c r="E381" s="233" t="str">
        <x:v>Insulation Workers</x:v>
      </x:c>
      <x:c r="F381" s="233" t="str">
        <x:v>UNRESOLVED</x:v>
      </x:c>
      <x:c r="G381" s="233"/>
      <x:c r="H381" s="233" t="str"/>
      <x:c r="I381" s="233"/>
      <x:c r="J381" s="233" t="str">
        <x:v>PENDING</x:v>
      </x:c>
      <x:c r="K381" s="233" t="str">
        <x:v>Not Exposed</x:v>
      </x:c>
      <x:c r="L381" s="296" t="n">
        <x:v>0.13</x:v>
      </x:c>
      <x:c r="M381" s="296" t="n">
        <x:v>0.02</x:v>
      </x:c>
      <x:c r="N381" s="233" t="n">
        <x:v>0</x:v>
      </x:c>
      <x:c r="O381" s="233" t="str">
        <x:v>DRAFT_ORDINAL_MAPPING</x:v>
      </x:c>
      <x:c r="P381" s="233" t="str">
        <x:v>VERIFIED</x:v>
      </x:c>
      <x:c r="Q381" s="235" t="str"/>
      <x:c r="R381" s="235" t="str"/>
      <x:c r="S381" s="233" t="str">
        <x:v>ILO_SCORE25</x:v>
      </x:c>
      <x:c r="T381" s="233" t="str">
        <x:v>WP140 online Annex, Table A1</x:v>
      </x:c>
      <x:c r="U381" s="235" t="str">
        <x:v>PENDING</x:v>
      </x:c>
      <x:c r="V381" s="235" t="str">
        <x:v>Codex</x:v>
      </x:c>
      <x:c r="W381" s="297" t="str">
        <x:v>KBJI–ISCO belum dipetakan; skor 0–5 adalah transformasi ordinal draft.</x:v>
      </x:c>
    </x:row>
    <x:row r="382">
      <x:c r="A382" s="293" t="str"/>
      <x:c r="B382" s="294" t="str"/>
      <x:c r="C382" s="235" t="str"/>
      <x:c r="D382" s="295" t="str">
        <x:v>7131</x:v>
      </x:c>
      <x:c r="E382" s="233" t="str">
        <x:v>Painters and Related Workers</x:v>
      </x:c>
      <x:c r="F382" s="233" t="str">
        <x:v>UNRESOLVED</x:v>
      </x:c>
      <x:c r="G382" s="233"/>
      <x:c r="H382" s="233" t="str"/>
      <x:c r="I382" s="233"/>
      <x:c r="J382" s="233" t="str">
        <x:v>PENDING</x:v>
      </x:c>
      <x:c r="K382" s="233" t="str">
        <x:v>Not Exposed</x:v>
      </x:c>
      <x:c r="L382" s="296" t="n">
        <x:v>0.13</x:v>
      </x:c>
      <x:c r="M382" s="296" t="n">
        <x:v>0.04</x:v>
      </x:c>
      <x:c r="N382" s="233" t="n">
        <x:v>0</x:v>
      </x:c>
      <x:c r="O382" s="233" t="str">
        <x:v>DRAFT_ORDINAL_MAPPING</x:v>
      </x:c>
      <x:c r="P382" s="233" t="str">
        <x:v>VERIFIED</x:v>
      </x:c>
      <x:c r="Q382" s="235" t="str"/>
      <x:c r="R382" s="235" t="str"/>
      <x:c r="S382" s="233" t="str">
        <x:v>ILO_SCORE25</x:v>
      </x:c>
      <x:c r="T382" s="233" t="str">
        <x:v>WP140 online Annex, Table A1</x:v>
      </x:c>
      <x:c r="U382" s="235" t="str">
        <x:v>PENDING</x:v>
      </x:c>
      <x:c r="V382" s="235" t="str">
        <x:v>Codex</x:v>
      </x:c>
      <x:c r="W382" s="297" t="str">
        <x:v>KBJI–ISCO belum dipetakan; skor 0–5 adalah transformasi ordinal draft.</x:v>
      </x:c>
    </x:row>
    <x:row r="383">
      <x:c r="A383" s="293" t="str"/>
      <x:c r="B383" s="294" t="str"/>
      <x:c r="C383" s="235" t="str"/>
      <x:c r="D383" s="295" t="str">
        <x:v>7211</x:v>
      </x:c>
      <x:c r="E383" s="233" t="str">
        <x:v>Metal Moulders and Coremakers</x:v>
      </x:c>
      <x:c r="F383" s="233" t="str">
        <x:v>UNRESOLVED</x:v>
      </x:c>
      <x:c r="G383" s="233"/>
      <x:c r="H383" s="233" t="str"/>
      <x:c r="I383" s="233"/>
      <x:c r="J383" s="233" t="str">
        <x:v>PENDING</x:v>
      </x:c>
      <x:c r="K383" s="233" t="str">
        <x:v>Not Exposed</x:v>
      </x:c>
      <x:c r="L383" s="296" t="n">
        <x:v>0.13</x:v>
      </x:c>
      <x:c r="M383" s="296" t="n">
        <x:v>0.01</x:v>
      </x:c>
      <x:c r="N383" s="233" t="n">
        <x:v>0</x:v>
      </x:c>
      <x:c r="O383" s="233" t="str">
        <x:v>DRAFT_ORDINAL_MAPPING</x:v>
      </x:c>
      <x:c r="P383" s="233" t="str">
        <x:v>VERIFIED</x:v>
      </x:c>
      <x:c r="Q383" s="235" t="str"/>
      <x:c r="R383" s="235" t="str"/>
      <x:c r="S383" s="233" t="str">
        <x:v>ILO_SCORE25</x:v>
      </x:c>
      <x:c r="T383" s="233" t="str">
        <x:v>WP140 online Annex, Table A1</x:v>
      </x:c>
      <x:c r="U383" s="235" t="str">
        <x:v>PENDING</x:v>
      </x:c>
      <x:c r="V383" s="235" t="str">
        <x:v>Codex</x:v>
      </x:c>
      <x:c r="W383" s="297" t="str">
        <x:v>KBJI–ISCO belum dipetakan; skor 0–5 adalah transformasi ordinal draft.</x:v>
      </x:c>
    </x:row>
    <x:row r="384">
      <x:c r="A384" s="293" t="str"/>
      <x:c r="B384" s="294" t="str"/>
      <x:c r="C384" s="235" t="str"/>
      <x:c r="D384" s="295" t="str">
        <x:v>7212</x:v>
      </x:c>
      <x:c r="E384" s="233" t="str">
        <x:v>Welders and Flame Cutters</x:v>
      </x:c>
      <x:c r="F384" s="233" t="str">
        <x:v>UNRESOLVED</x:v>
      </x:c>
      <x:c r="G384" s="233"/>
      <x:c r="H384" s="233" t="str"/>
      <x:c r="I384" s="233"/>
      <x:c r="J384" s="233" t="str">
        <x:v>PENDING</x:v>
      </x:c>
      <x:c r="K384" s="233" t="str">
        <x:v>Not Exposed</x:v>
      </x:c>
      <x:c r="L384" s="296" t="n">
        <x:v>0.13</x:v>
      </x:c>
      <x:c r="M384" s="296" t="n">
        <x:v>0.05</x:v>
      </x:c>
      <x:c r="N384" s="233" t="n">
        <x:v>0</x:v>
      </x:c>
      <x:c r="O384" s="233" t="str">
        <x:v>DRAFT_ORDINAL_MAPPING</x:v>
      </x:c>
      <x:c r="P384" s="233" t="str">
        <x:v>VERIFIED</x:v>
      </x:c>
      <x:c r="Q384" s="235" t="str"/>
      <x:c r="R384" s="235" t="str"/>
      <x:c r="S384" s="233" t="str">
        <x:v>ILO_SCORE25</x:v>
      </x:c>
      <x:c r="T384" s="233" t="str">
        <x:v>WP140 online Annex, Table A1</x:v>
      </x:c>
      <x:c r="U384" s="235" t="str">
        <x:v>PENDING</x:v>
      </x:c>
      <x:c r="V384" s="235" t="str">
        <x:v>Codex</x:v>
      </x:c>
      <x:c r="W384" s="297" t="str">
        <x:v>KBJI–ISCO belum dipetakan; skor 0–5 adalah transformasi ordinal draft.</x:v>
      </x:c>
    </x:row>
    <x:row r="385">
      <x:c r="A385" s="293" t="str"/>
      <x:c r="B385" s="294" t="str"/>
      <x:c r="C385" s="235" t="str"/>
      <x:c r="D385" s="295" t="str">
        <x:v>7215</x:v>
      </x:c>
      <x:c r="E385" s="233" t="str">
        <x:v>Riggers and Cable Splicers</x:v>
      </x:c>
      <x:c r="F385" s="233" t="str">
        <x:v>UNRESOLVED</x:v>
      </x:c>
      <x:c r="G385" s="233"/>
      <x:c r="H385" s="233" t="str"/>
      <x:c r="I385" s="233"/>
      <x:c r="J385" s="233" t="str">
        <x:v>PENDING</x:v>
      </x:c>
      <x:c r="K385" s="233" t="str">
        <x:v>Not Exposed</x:v>
      </x:c>
      <x:c r="L385" s="296" t="n">
        <x:v>0.13</x:v>
      </x:c>
      <x:c r="M385" s="296" t="n">
        <x:v>0.03</x:v>
      </x:c>
      <x:c r="N385" s="233" t="n">
        <x:v>0</x:v>
      </x:c>
      <x:c r="O385" s="233" t="str">
        <x:v>DRAFT_ORDINAL_MAPPING</x:v>
      </x:c>
      <x:c r="P385" s="233" t="str">
        <x:v>VERIFIED</x:v>
      </x:c>
      <x:c r="Q385" s="235" t="str"/>
      <x:c r="R385" s="235" t="str"/>
      <x:c r="S385" s="233" t="str">
        <x:v>ILO_SCORE25</x:v>
      </x:c>
      <x:c r="T385" s="233" t="str">
        <x:v>WP140 online Annex, Table A1</x:v>
      </x:c>
      <x:c r="U385" s="235" t="str">
        <x:v>PENDING</x:v>
      </x:c>
      <x:c r="V385" s="235" t="str">
        <x:v>Codex</x:v>
      </x:c>
      <x:c r="W385" s="297" t="str">
        <x:v>KBJI–ISCO belum dipetakan; skor 0–5 adalah transformasi ordinal draft.</x:v>
      </x:c>
    </x:row>
    <x:row r="386">
      <x:c r="A386" s="293" t="str"/>
      <x:c r="B386" s="294" t="str"/>
      <x:c r="C386" s="235" t="str"/>
      <x:c r="D386" s="295" t="str">
        <x:v>7234</x:v>
      </x:c>
      <x:c r="E386" s="233" t="str">
        <x:v>Bicycle and Related Repairers</x:v>
      </x:c>
      <x:c r="F386" s="233" t="str">
        <x:v>UNRESOLVED</x:v>
      </x:c>
      <x:c r="G386" s="233"/>
      <x:c r="H386" s="233" t="str"/>
      <x:c r="I386" s="233"/>
      <x:c r="J386" s="233" t="str">
        <x:v>PENDING</x:v>
      </x:c>
      <x:c r="K386" s="233" t="str">
        <x:v>Not Exposed</x:v>
      </x:c>
      <x:c r="L386" s="296" t="n">
        <x:v>0.13</x:v>
      </x:c>
      <x:c r="M386" s="296" t="n">
        <x:v>0.02</x:v>
      </x:c>
      <x:c r="N386" s="233" t="n">
        <x:v>0</x:v>
      </x:c>
      <x:c r="O386" s="233" t="str">
        <x:v>DRAFT_ORDINAL_MAPPING</x:v>
      </x:c>
      <x:c r="P386" s="233" t="str">
        <x:v>VERIFIED</x:v>
      </x:c>
      <x:c r="Q386" s="235" t="str"/>
      <x:c r="R386" s="235" t="str"/>
      <x:c r="S386" s="233" t="str">
        <x:v>ILO_SCORE25</x:v>
      </x:c>
      <x:c r="T386" s="233" t="str">
        <x:v>WP140 online Annex, Table A1</x:v>
      </x:c>
      <x:c r="U386" s="235" t="str">
        <x:v>PENDING</x:v>
      </x:c>
      <x:c r="V386" s="235" t="str">
        <x:v>Codex</x:v>
      </x:c>
      <x:c r="W386" s="297" t="str">
        <x:v>KBJI–ISCO belum dipetakan; skor 0–5 adalah transformasi ordinal draft.</x:v>
      </x:c>
    </x:row>
    <x:row r="387">
      <x:c r="A387" s="293" t="str"/>
      <x:c r="B387" s="294" t="str"/>
      <x:c r="C387" s="235" t="str"/>
      <x:c r="D387" s="295" t="str">
        <x:v>7318</x:v>
      </x:c>
      <x:c r="E387" s="233" t="str">
        <x:v>Handicraft Workers in Textile, Leather and Related Materials</x:v>
      </x:c>
      <x:c r="F387" s="233" t="str">
        <x:v>UNRESOLVED</x:v>
      </x:c>
      <x:c r="G387" s="233"/>
      <x:c r="H387" s="233" t="str"/>
      <x:c r="I387" s="233"/>
      <x:c r="J387" s="233" t="str">
        <x:v>PENDING</x:v>
      </x:c>
      <x:c r="K387" s="233" t="str">
        <x:v>Not Exposed</x:v>
      </x:c>
      <x:c r="L387" s="296" t="n">
        <x:v>0.13</x:v>
      </x:c>
      <x:c r="M387" s="296" t="n">
        <x:v>0.03</x:v>
      </x:c>
      <x:c r="N387" s="233" t="n">
        <x:v>0</x:v>
      </x:c>
      <x:c r="O387" s="233" t="str">
        <x:v>DRAFT_ORDINAL_MAPPING</x:v>
      </x:c>
      <x:c r="P387" s="233" t="str">
        <x:v>VERIFIED</x:v>
      </x:c>
      <x:c r="Q387" s="235" t="str"/>
      <x:c r="R387" s="235" t="str"/>
      <x:c r="S387" s="233" t="str">
        <x:v>ILO_SCORE25</x:v>
      </x:c>
      <x:c r="T387" s="233" t="str">
        <x:v>WP140 online Annex, Table A1</x:v>
      </x:c>
      <x:c r="U387" s="235" t="str">
        <x:v>PENDING</x:v>
      </x:c>
      <x:c r="V387" s="235" t="str">
        <x:v>Codex</x:v>
      </x:c>
      <x:c r="W387" s="297" t="str">
        <x:v>KBJI–ISCO belum dipetakan; skor 0–5 adalah transformasi ordinal draft.</x:v>
      </x:c>
    </x:row>
    <x:row r="388">
      <x:c r="A388" s="293" t="str"/>
      <x:c r="B388" s="294" t="str"/>
      <x:c r="C388" s="235" t="str"/>
      <x:c r="D388" s="295" t="str">
        <x:v>7511</x:v>
      </x:c>
      <x:c r="E388" s="233" t="str">
        <x:v>Butchers, Fishmongers and Related Food Preparers</x:v>
      </x:c>
      <x:c r="F388" s="233" t="str">
        <x:v>UNRESOLVED</x:v>
      </x:c>
      <x:c r="G388" s="233"/>
      <x:c r="H388" s="233" t="str"/>
      <x:c r="I388" s="233"/>
      <x:c r="J388" s="233" t="str">
        <x:v>PENDING</x:v>
      </x:c>
      <x:c r="K388" s="233" t="str">
        <x:v>Not Exposed</x:v>
      </x:c>
      <x:c r="L388" s="296" t="n">
        <x:v>0.13</x:v>
      </x:c>
      <x:c r="M388" s="296" t="n">
        <x:v>0.03</x:v>
      </x:c>
      <x:c r="N388" s="233" t="n">
        <x:v>0</x:v>
      </x:c>
      <x:c r="O388" s="233" t="str">
        <x:v>DRAFT_ORDINAL_MAPPING</x:v>
      </x:c>
      <x:c r="P388" s="233" t="str">
        <x:v>VERIFIED</x:v>
      </x:c>
      <x:c r="Q388" s="235" t="str"/>
      <x:c r="R388" s="235" t="str"/>
      <x:c r="S388" s="233" t="str">
        <x:v>ILO_SCORE25</x:v>
      </x:c>
      <x:c r="T388" s="233" t="str">
        <x:v>WP140 online Annex, Table A1</x:v>
      </x:c>
      <x:c r="U388" s="235" t="str">
        <x:v>PENDING</x:v>
      </x:c>
      <x:c r="V388" s="235" t="str">
        <x:v>Codex</x:v>
      </x:c>
      <x:c r="W388" s="297" t="str">
        <x:v>KBJI–ISCO belum dipetakan; skor 0–5 adalah transformasi ordinal draft.</x:v>
      </x:c>
    </x:row>
    <x:row r="389">
      <x:c r="A389" s="293" t="str"/>
      <x:c r="B389" s="294" t="str"/>
      <x:c r="C389" s="235" t="str"/>
      <x:c r="D389" s="295" t="str">
        <x:v>7544</x:v>
      </x:c>
      <x:c r="E389" s="233" t="str">
        <x:v>Fumigators and Other Pest and Weed Controllers</x:v>
      </x:c>
      <x:c r="F389" s="233" t="str">
        <x:v>UNRESOLVED</x:v>
      </x:c>
      <x:c r="G389" s="233"/>
      <x:c r="H389" s="233" t="str"/>
      <x:c r="I389" s="233"/>
      <x:c r="J389" s="233" t="str">
        <x:v>PENDING</x:v>
      </x:c>
      <x:c r="K389" s="233" t="str">
        <x:v>Not Exposed</x:v>
      </x:c>
      <x:c r="L389" s="296" t="n">
        <x:v>0.13</x:v>
      </x:c>
      <x:c r="M389" s="296" t="n">
        <x:v>0.04</x:v>
      </x:c>
      <x:c r="N389" s="233" t="n">
        <x:v>0</x:v>
      </x:c>
      <x:c r="O389" s="233" t="str">
        <x:v>DRAFT_ORDINAL_MAPPING</x:v>
      </x:c>
      <x:c r="P389" s="233" t="str">
        <x:v>VERIFIED</x:v>
      </x:c>
      <x:c r="Q389" s="235" t="str"/>
      <x:c r="R389" s="235" t="str"/>
      <x:c r="S389" s="233" t="str">
        <x:v>ILO_SCORE25</x:v>
      </x:c>
      <x:c r="T389" s="233" t="str">
        <x:v>WP140 online Annex, Table A1</x:v>
      </x:c>
      <x:c r="U389" s="235" t="str">
        <x:v>PENDING</x:v>
      </x:c>
      <x:c r="V389" s="235" t="str">
        <x:v>Codex</x:v>
      </x:c>
      <x:c r="W389" s="297" t="str">
        <x:v>KBJI–ISCO belum dipetakan; skor 0–5 adalah transformasi ordinal draft.</x:v>
      </x:c>
    </x:row>
    <x:row r="390">
      <x:c r="A390" s="293" t="str"/>
      <x:c r="B390" s="294" t="str"/>
      <x:c r="C390" s="235" t="str"/>
      <x:c r="D390" s="295" t="str">
        <x:v>8342</x:v>
      </x:c>
      <x:c r="E390" s="233" t="str">
        <x:v>Earthmoving and Related Plant Operators</x:v>
      </x:c>
      <x:c r="F390" s="233" t="str">
        <x:v>UNRESOLVED</x:v>
      </x:c>
      <x:c r="G390" s="233"/>
      <x:c r="H390" s="233" t="str"/>
      <x:c r="I390" s="233"/>
      <x:c r="J390" s="233" t="str">
        <x:v>PENDING</x:v>
      </x:c>
      <x:c r="K390" s="233" t="str">
        <x:v>Not Exposed</x:v>
      </x:c>
      <x:c r="L390" s="296" t="n">
        <x:v>0.13</x:v>
      </x:c>
      <x:c r="M390" s="296" t="n">
        <x:v>0.02</x:v>
      </x:c>
      <x:c r="N390" s="233" t="n">
        <x:v>0</x:v>
      </x:c>
      <x:c r="O390" s="233" t="str">
        <x:v>DRAFT_ORDINAL_MAPPING</x:v>
      </x:c>
      <x:c r="P390" s="233" t="str">
        <x:v>VERIFIED</x:v>
      </x:c>
      <x:c r="Q390" s="235" t="str"/>
      <x:c r="R390" s="235" t="str"/>
      <x:c r="S390" s="233" t="str">
        <x:v>ILO_SCORE25</x:v>
      </x:c>
      <x:c r="T390" s="233" t="str">
        <x:v>WP140 online Annex, Table A1</x:v>
      </x:c>
      <x:c r="U390" s="235" t="str">
        <x:v>PENDING</x:v>
      </x:c>
      <x:c r="V390" s="235" t="str">
        <x:v>Codex</x:v>
      </x:c>
      <x:c r="W390" s="297" t="str">
        <x:v>KBJI–ISCO belum dipetakan; skor 0–5 adalah transformasi ordinal draft.</x:v>
      </x:c>
    </x:row>
    <x:row r="391">
      <x:c r="A391" s="293" t="str"/>
      <x:c r="B391" s="294" t="str"/>
      <x:c r="C391" s="235" t="str"/>
      <x:c r="D391" s="295" t="str">
        <x:v>9332</x:v>
      </x:c>
      <x:c r="E391" s="233" t="str">
        <x:v>Drivers of Animal-drawn Vehicles and Machinery</x:v>
      </x:c>
      <x:c r="F391" s="233" t="str">
        <x:v>UNRESOLVED</x:v>
      </x:c>
      <x:c r="G391" s="233"/>
      <x:c r="H391" s="233" t="str"/>
      <x:c r="I391" s="233"/>
      <x:c r="J391" s="233" t="str">
        <x:v>PENDING</x:v>
      </x:c>
      <x:c r="K391" s="233" t="str">
        <x:v>Not Exposed</x:v>
      </x:c>
      <x:c r="L391" s="296" t="n">
        <x:v>0.13</x:v>
      </x:c>
      <x:c r="M391" s="296" t="n">
        <x:v>0.08</x:v>
      </x:c>
      <x:c r="N391" s="233" t="n">
        <x:v>0</x:v>
      </x:c>
      <x:c r="O391" s="233" t="str">
        <x:v>DRAFT_ORDINAL_MAPPING</x:v>
      </x:c>
      <x:c r="P391" s="233" t="str">
        <x:v>VERIFIED</x:v>
      </x:c>
      <x:c r="Q391" s="235" t="str"/>
      <x:c r="R391" s="235" t="str"/>
      <x:c r="S391" s="233" t="str">
        <x:v>ILO_SCORE25</x:v>
      </x:c>
      <x:c r="T391" s="233" t="str">
        <x:v>WP140 online Annex, Table A1</x:v>
      </x:c>
      <x:c r="U391" s="235" t="str">
        <x:v>PENDING</x:v>
      </x:c>
      <x:c r="V391" s="235" t="str">
        <x:v>Codex</x:v>
      </x:c>
      <x:c r="W391" s="297" t="str">
        <x:v>KBJI–ISCO belum dipetakan; skor 0–5 adalah transformasi ordinal draft.</x:v>
      </x:c>
    </x:row>
    <x:row r="392">
      <x:c r="A392" s="293" t="str"/>
      <x:c r="B392" s="294" t="str"/>
      <x:c r="C392" s="235" t="str"/>
      <x:c r="D392" s="295" t="str">
        <x:v>9412</x:v>
      </x:c>
      <x:c r="E392" s="233" t="str">
        <x:v>Kitchen Helpers</x:v>
      </x:c>
      <x:c r="F392" s="233" t="str">
        <x:v>UNRESOLVED</x:v>
      </x:c>
      <x:c r="G392" s="233"/>
      <x:c r="H392" s="233" t="str"/>
      <x:c r="I392" s="233"/>
      <x:c r="J392" s="233" t="str">
        <x:v>PENDING</x:v>
      </x:c>
      <x:c r="K392" s="233" t="str">
        <x:v>Not Exposed</x:v>
      </x:c>
      <x:c r="L392" s="296" t="n">
        <x:v>0.13</x:v>
      </x:c>
      <x:c r="M392" s="296" t="n">
        <x:v>0.02</x:v>
      </x:c>
      <x:c r="N392" s="233" t="n">
        <x:v>0</x:v>
      </x:c>
      <x:c r="O392" s="233" t="str">
        <x:v>DRAFT_ORDINAL_MAPPING</x:v>
      </x:c>
      <x:c r="P392" s="233" t="str">
        <x:v>VERIFIED</x:v>
      </x:c>
      <x:c r="Q392" s="235" t="str"/>
      <x:c r="R392" s="235" t="str"/>
      <x:c r="S392" s="233" t="str">
        <x:v>ILO_SCORE25</x:v>
      </x:c>
      <x:c r="T392" s="233" t="str">
        <x:v>WP140 online Annex, Table A1</x:v>
      </x:c>
      <x:c r="U392" s="235" t="str">
        <x:v>PENDING</x:v>
      </x:c>
      <x:c r="V392" s="235" t="str">
        <x:v>Codex</x:v>
      </x:c>
      <x:c r="W392" s="297" t="str">
        <x:v>KBJI–ISCO belum dipetakan; skor 0–5 adalah transformasi ordinal draft.</x:v>
      </x:c>
    </x:row>
    <x:row r="393">
      <x:c r="A393" s="293" t="str"/>
      <x:c r="B393" s="294" t="str"/>
      <x:c r="C393" s="235" t="str"/>
      <x:c r="D393" s="295" t="str">
        <x:v>3413</x:v>
      </x:c>
      <x:c r="E393" s="233" t="str">
        <x:v>Religious Associate Professionals</x:v>
      </x:c>
      <x:c r="F393" s="233" t="str">
        <x:v>UNRESOLVED</x:v>
      </x:c>
      <x:c r="G393" s="233"/>
      <x:c r="H393" s="233" t="str"/>
      <x:c r="I393" s="233"/>
      <x:c r="J393" s="233" t="str">
        <x:v>PENDING</x:v>
      </x:c>
      <x:c r="K393" s="233" t="str">
        <x:v>Not Exposed</x:v>
      </x:c>
      <x:c r="L393" s="296" t="n">
        <x:v>0.12</x:v>
      </x:c>
      <x:c r="M393" s="296" t="n">
        <x:v>0.07</x:v>
      </x:c>
      <x:c r="N393" s="233" t="n">
        <x:v>0</x:v>
      </x:c>
      <x:c r="O393" s="233" t="str">
        <x:v>DRAFT_ORDINAL_MAPPING</x:v>
      </x:c>
      <x:c r="P393" s="233" t="str">
        <x:v>VERIFIED</x:v>
      </x:c>
      <x:c r="Q393" s="235" t="str"/>
      <x:c r="R393" s="235" t="str"/>
      <x:c r="S393" s="233" t="str">
        <x:v>ILO_SCORE25</x:v>
      </x:c>
      <x:c r="T393" s="233" t="str">
        <x:v>WP140 online Annex, Table A1</x:v>
      </x:c>
      <x:c r="U393" s="235" t="str">
        <x:v>PENDING</x:v>
      </x:c>
      <x:c r="V393" s="235" t="str">
        <x:v>Codex</x:v>
      </x:c>
      <x:c r="W393" s="297" t="str">
        <x:v>KBJI–ISCO belum dipetakan; skor 0–5 adalah transformasi ordinal draft.</x:v>
      </x:c>
    </x:row>
    <x:row r="394">
      <x:c r="A394" s="293" t="str"/>
      <x:c r="B394" s="294" t="str"/>
      <x:c r="C394" s="235" t="str"/>
      <x:c r="D394" s="295" t="str">
        <x:v>6210</x:v>
      </x:c>
      <x:c r="E394" s="233" t="str">
        <x:v>Forestry and Related Workers</x:v>
      </x:c>
      <x:c r="F394" s="233" t="str">
        <x:v>UNRESOLVED</x:v>
      </x:c>
      <x:c r="G394" s="233"/>
      <x:c r="H394" s="233" t="str"/>
      <x:c r="I394" s="233"/>
      <x:c r="J394" s="233" t="str">
        <x:v>PENDING</x:v>
      </x:c>
      <x:c r="K394" s="233" t="str">
        <x:v>Not Exposed</x:v>
      </x:c>
      <x:c r="L394" s="296" t="n">
        <x:v>0.12</x:v>
      </x:c>
      <x:c r="M394" s="296" t="n">
        <x:v>0.05</x:v>
      </x:c>
      <x:c r="N394" s="233" t="n">
        <x:v>0</x:v>
      </x:c>
      <x:c r="O394" s="233" t="str">
        <x:v>DRAFT_ORDINAL_MAPPING</x:v>
      </x:c>
      <x:c r="P394" s="233" t="str">
        <x:v>VERIFIED</x:v>
      </x:c>
      <x:c r="Q394" s="235" t="str"/>
      <x:c r="R394" s="235" t="str"/>
      <x:c r="S394" s="233" t="str">
        <x:v>ILO_SCORE25</x:v>
      </x:c>
      <x:c r="T394" s="233" t="str">
        <x:v>WP140 online Annex, Table A1</x:v>
      </x:c>
      <x:c r="U394" s="235" t="str">
        <x:v>PENDING</x:v>
      </x:c>
      <x:c r="V394" s="235" t="str">
        <x:v>Codex</x:v>
      </x:c>
      <x:c r="W394" s="297" t="str">
        <x:v>KBJI–ISCO belum dipetakan; skor 0–5 adalah transformasi ordinal draft.</x:v>
      </x:c>
    </x:row>
    <x:row r="395">
      <x:c r="A395" s="293" t="str"/>
      <x:c r="B395" s="294" t="str"/>
      <x:c r="C395" s="235" t="str"/>
      <x:c r="D395" s="295" t="str">
        <x:v>6330</x:v>
      </x:c>
      <x:c r="E395" s="233" t="str">
        <x:v>Subsistence Mixed Crop and Livestock Farmers</x:v>
      </x:c>
      <x:c r="F395" s="233" t="str">
        <x:v>UNRESOLVED</x:v>
      </x:c>
      <x:c r="G395" s="233"/>
      <x:c r="H395" s="233" t="str"/>
      <x:c r="I395" s="233"/>
      <x:c r="J395" s="233" t="str">
        <x:v>PENDING</x:v>
      </x:c>
      <x:c r="K395" s="233" t="str">
        <x:v>Not Exposed</x:v>
      </x:c>
      <x:c r="L395" s="296" t="n">
        <x:v>0.12</x:v>
      </x:c>
      <x:c r="M395" s="296" t="n">
        <x:v>0.05</x:v>
      </x:c>
      <x:c r="N395" s="233" t="n">
        <x:v>0</x:v>
      </x:c>
      <x:c r="O395" s="233" t="str">
        <x:v>DRAFT_ORDINAL_MAPPING</x:v>
      </x:c>
      <x:c r="P395" s="233" t="str">
        <x:v>VERIFIED</x:v>
      </x:c>
      <x:c r="Q395" s="235" t="str"/>
      <x:c r="R395" s="235" t="str"/>
      <x:c r="S395" s="233" t="str">
        <x:v>ILO_SCORE25</x:v>
      </x:c>
      <x:c r="T395" s="233" t="str">
        <x:v>WP140 online Annex, Table A1</x:v>
      </x:c>
      <x:c r="U395" s="235" t="str">
        <x:v>PENDING</x:v>
      </x:c>
      <x:c r="V395" s="235" t="str">
        <x:v>Codex</x:v>
      </x:c>
      <x:c r="W395" s="297" t="str">
        <x:v>KBJI–ISCO belum dipetakan; skor 0–5 adalah transformasi ordinal draft.</x:v>
      </x:c>
    </x:row>
    <x:row r="396">
      <x:c r="A396" s="293" t="str"/>
      <x:c r="B396" s="294" t="str"/>
      <x:c r="C396" s="235" t="str"/>
      <x:c r="D396" s="295" t="str">
        <x:v>6340</x:v>
      </x:c>
      <x:c r="E396" s="233" t="str">
        <x:v>Subsistence Fishers, Hunters, Trappers and Gatherers</x:v>
      </x:c>
      <x:c r="F396" s="233" t="str">
        <x:v>UNRESOLVED</x:v>
      </x:c>
      <x:c r="G396" s="233"/>
      <x:c r="H396" s="233" t="str"/>
      <x:c r="I396" s="233"/>
      <x:c r="J396" s="233" t="str">
        <x:v>PENDING</x:v>
      </x:c>
      <x:c r="K396" s="233" t="str">
        <x:v>Not Exposed</x:v>
      </x:c>
      <x:c r="L396" s="296" t="n">
        <x:v>0.12</x:v>
      </x:c>
      <x:c r="M396" s="296" t="n">
        <x:v>0.05</x:v>
      </x:c>
      <x:c r="N396" s="233" t="n">
        <x:v>0</x:v>
      </x:c>
      <x:c r="O396" s="233" t="str">
        <x:v>DRAFT_ORDINAL_MAPPING</x:v>
      </x:c>
      <x:c r="P396" s="233" t="str">
        <x:v>VERIFIED</x:v>
      </x:c>
      <x:c r="Q396" s="235" t="str"/>
      <x:c r="R396" s="235" t="str"/>
      <x:c r="S396" s="233" t="str">
        <x:v>ILO_SCORE25</x:v>
      </x:c>
      <x:c r="T396" s="233" t="str">
        <x:v>WP140 online Annex, Table A1</x:v>
      </x:c>
      <x:c r="U396" s="235" t="str">
        <x:v>PENDING</x:v>
      </x:c>
      <x:c r="V396" s="235" t="str">
        <x:v>Codex</x:v>
      </x:c>
      <x:c r="W396" s="297" t="str">
        <x:v>KBJI–ISCO belum dipetakan; skor 0–5 adalah transformasi ordinal draft.</x:v>
      </x:c>
    </x:row>
    <x:row r="397">
      <x:c r="A397" s="293" t="str"/>
      <x:c r="B397" s="294" t="str"/>
      <x:c r="C397" s="235" t="str"/>
      <x:c r="D397" s="295" t="str">
        <x:v>7132</x:v>
      </x:c>
      <x:c r="E397" s="233" t="str">
        <x:v>Spray Painters and Varnishers</x:v>
      </x:c>
      <x:c r="F397" s="233" t="str">
        <x:v>UNRESOLVED</x:v>
      </x:c>
      <x:c r="G397" s="233"/>
      <x:c r="H397" s="233" t="str"/>
      <x:c r="I397" s="233"/>
      <x:c r="J397" s="233" t="str">
        <x:v>PENDING</x:v>
      </x:c>
      <x:c r="K397" s="233" t="str">
        <x:v>Not Exposed</x:v>
      </x:c>
      <x:c r="L397" s="296" t="n">
        <x:v>0.12</x:v>
      </x:c>
      <x:c r="M397" s="296" t="n">
        <x:v>0</x:v>
      </x:c>
      <x:c r="N397" s="233" t="n">
        <x:v>0</x:v>
      </x:c>
      <x:c r="O397" s="233" t="str">
        <x:v>DRAFT_ORDINAL_MAPPING</x:v>
      </x:c>
      <x:c r="P397" s="233" t="str">
        <x:v>VERIFIED</x:v>
      </x:c>
      <x:c r="Q397" s="235" t="str"/>
      <x:c r="R397" s="235" t="str"/>
      <x:c r="S397" s="233" t="str">
        <x:v>ILO_SCORE25</x:v>
      </x:c>
      <x:c r="T397" s="233" t="str">
        <x:v>WP140 online Annex, Table A1</x:v>
      </x:c>
      <x:c r="U397" s="235" t="str">
        <x:v>PENDING</x:v>
      </x:c>
      <x:c r="V397" s="235" t="str">
        <x:v>Codex</x:v>
      </x:c>
      <x:c r="W397" s="297" t="str">
        <x:v>KBJI–ISCO belum dipetakan; skor 0–5 adalah transformasi ordinal draft.</x:v>
      </x:c>
    </x:row>
    <x:row r="398">
      <x:c r="A398" s="293" t="str"/>
      <x:c r="B398" s="294" t="str"/>
      <x:c r="C398" s="235" t="str"/>
      <x:c r="D398" s="295" t="str">
        <x:v>7533</x:v>
      </x:c>
      <x:c r="E398" s="233" t="str">
        <x:v>Sewing, Embroidery and Related Workers</x:v>
      </x:c>
      <x:c r="F398" s="233" t="str">
        <x:v>UNRESOLVED</x:v>
      </x:c>
      <x:c r="G398" s="233"/>
      <x:c r="H398" s="233" t="str"/>
      <x:c r="I398" s="233"/>
      <x:c r="J398" s="233" t="str">
        <x:v>PENDING</x:v>
      </x:c>
      <x:c r="K398" s="233" t="str">
        <x:v>Not Exposed</x:v>
      </x:c>
      <x:c r="L398" s="296" t="n">
        <x:v>0.12</x:v>
      </x:c>
      <x:c r="M398" s="296" t="n">
        <x:v>0.02</x:v>
      </x:c>
      <x:c r="N398" s="233" t="n">
        <x:v>0</x:v>
      </x:c>
      <x:c r="O398" s="233" t="str">
        <x:v>DRAFT_ORDINAL_MAPPING</x:v>
      </x:c>
      <x:c r="P398" s="233" t="str">
        <x:v>VERIFIED</x:v>
      </x:c>
      <x:c r="Q398" s="235" t="str"/>
      <x:c r="R398" s="235" t="str"/>
      <x:c r="S398" s="233" t="str">
        <x:v>ILO_SCORE25</x:v>
      </x:c>
      <x:c r="T398" s="233" t="str">
        <x:v>WP140 online Annex, Table A1</x:v>
      </x:c>
      <x:c r="U398" s="235" t="str">
        <x:v>PENDING</x:v>
      </x:c>
      <x:c r="V398" s="235" t="str">
        <x:v>Codex</x:v>
      </x:c>
      <x:c r="W398" s="297" t="str">
        <x:v>KBJI–ISCO belum dipetakan; skor 0–5 adalah transformasi ordinal draft.</x:v>
      </x:c>
    </x:row>
    <x:row r="399">
      <x:c r="A399" s="293" t="str"/>
      <x:c r="B399" s="294" t="str"/>
      <x:c r="C399" s="235" t="str"/>
      <x:c r="D399" s="295" t="str">
        <x:v>7542</x:v>
      </x:c>
      <x:c r="E399" s="233" t="str">
        <x:v>Shotfirers and Blasters</x:v>
      </x:c>
      <x:c r="F399" s="233" t="str">
        <x:v>UNRESOLVED</x:v>
      </x:c>
      <x:c r="G399" s="233"/>
      <x:c r="H399" s="233" t="str"/>
      <x:c r="I399" s="233"/>
      <x:c r="J399" s="233" t="str">
        <x:v>PENDING</x:v>
      </x:c>
      <x:c r="K399" s="233" t="str">
        <x:v>Not Exposed</x:v>
      </x:c>
      <x:c r="L399" s="296" t="n">
        <x:v>0.12</x:v>
      </x:c>
      <x:c r="M399" s="296" t="n">
        <x:v>0.05</x:v>
      </x:c>
      <x:c r="N399" s="233" t="n">
        <x:v>0</x:v>
      </x:c>
      <x:c r="O399" s="233" t="str">
        <x:v>DRAFT_ORDINAL_MAPPING</x:v>
      </x:c>
      <x:c r="P399" s="233" t="str">
        <x:v>VERIFIED</x:v>
      </x:c>
      <x:c r="Q399" s="235" t="str"/>
      <x:c r="R399" s="235" t="str"/>
      <x:c r="S399" s="233" t="str">
        <x:v>ILO_SCORE25</x:v>
      </x:c>
      <x:c r="T399" s="233" t="str">
        <x:v>WP140 online Annex, Table A1</x:v>
      </x:c>
      <x:c r="U399" s="235" t="str">
        <x:v>PENDING</x:v>
      </x:c>
      <x:c r="V399" s="235" t="str">
        <x:v>Codex</x:v>
      </x:c>
      <x:c r="W399" s="297" t="str">
        <x:v>KBJI–ISCO belum dipetakan; skor 0–5 adalah transformasi ordinal draft.</x:v>
      </x:c>
    </x:row>
    <x:row r="400">
      <x:c r="A400" s="293" t="str"/>
      <x:c r="B400" s="294" t="str"/>
      <x:c r="C400" s="235" t="str"/>
      <x:c r="D400" s="295" t="str">
        <x:v>8341</x:v>
      </x:c>
      <x:c r="E400" s="233" t="str">
        <x:v>Mobile Farm and Forestry Plant Operators</x:v>
      </x:c>
      <x:c r="F400" s="233" t="str">
        <x:v>UNRESOLVED</x:v>
      </x:c>
      <x:c r="G400" s="233"/>
      <x:c r="H400" s="233" t="str"/>
      <x:c r="I400" s="233"/>
      <x:c r="J400" s="233" t="str">
        <x:v>PENDING</x:v>
      </x:c>
      <x:c r="K400" s="233" t="str">
        <x:v>Not Exposed</x:v>
      </x:c>
      <x:c r="L400" s="296" t="n">
        <x:v>0.12</x:v>
      </x:c>
      <x:c r="M400" s="296" t="n">
        <x:v>0.03</x:v>
      </x:c>
      <x:c r="N400" s="233" t="n">
        <x:v>0</x:v>
      </x:c>
      <x:c r="O400" s="233" t="str">
        <x:v>DRAFT_ORDINAL_MAPPING</x:v>
      </x:c>
      <x:c r="P400" s="233" t="str">
        <x:v>VERIFIED</x:v>
      </x:c>
      <x:c r="Q400" s="235" t="str"/>
      <x:c r="R400" s="235" t="str"/>
      <x:c r="S400" s="233" t="str">
        <x:v>ILO_SCORE25</x:v>
      </x:c>
      <x:c r="T400" s="233" t="str">
        <x:v>WP140 online Annex, Table A1</x:v>
      </x:c>
      <x:c r="U400" s="235" t="str">
        <x:v>PENDING</x:v>
      </x:c>
      <x:c r="V400" s="235" t="str">
        <x:v>Codex</x:v>
      </x:c>
      <x:c r="W400" s="297" t="str">
        <x:v>KBJI–ISCO belum dipetakan; skor 0–5 adalah transformasi ordinal draft.</x:v>
      </x:c>
    </x:row>
    <x:row r="401">
      <x:c r="A401" s="293" t="str"/>
      <x:c r="B401" s="294" t="str"/>
      <x:c r="C401" s="235" t="str"/>
      <x:c r="D401" s="295" t="str">
        <x:v>9112</x:v>
      </x:c>
      <x:c r="E401" s="233" t="str">
        <x:v>Cleaners and Helpers in Offices, Hotels and Other Establishments</x:v>
      </x:c>
      <x:c r="F401" s="233" t="str">
        <x:v>UNRESOLVED</x:v>
      </x:c>
      <x:c r="G401" s="233"/>
      <x:c r="H401" s="233" t="str"/>
      <x:c r="I401" s="233"/>
      <x:c r="J401" s="233" t="str">
        <x:v>PENDING</x:v>
      </x:c>
      <x:c r="K401" s="233" t="str">
        <x:v>Not Exposed</x:v>
      </x:c>
      <x:c r="L401" s="296" t="n">
        <x:v>0.12</x:v>
      </x:c>
      <x:c r="M401" s="296" t="n">
        <x:v>0.02</x:v>
      </x:c>
      <x:c r="N401" s="233" t="n">
        <x:v>0</x:v>
      </x:c>
      <x:c r="O401" s="233" t="str">
        <x:v>DRAFT_ORDINAL_MAPPING</x:v>
      </x:c>
      <x:c r="P401" s="233" t="str">
        <x:v>VERIFIED</x:v>
      </x:c>
      <x:c r="Q401" s="235" t="str"/>
      <x:c r="R401" s="235" t="str"/>
      <x:c r="S401" s="233" t="str">
        <x:v>ILO_SCORE25</x:v>
      </x:c>
      <x:c r="T401" s="233" t="str">
        <x:v>WP140 online Annex, Table A1</x:v>
      </x:c>
      <x:c r="U401" s="235" t="str">
        <x:v>PENDING</x:v>
      </x:c>
      <x:c r="V401" s="235" t="str">
        <x:v>Codex</x:v>
      </x:c>
      <x:c r="W401" s="297" t="str">
        <x:v>KBJI–ISCO belum dipetakan; skor 0–5 adalah transformasi ordinal draft.</x:v>
      </x:c>
    </x:row>
    <x:row r="402">
      <x:c r="A402" s="293" t="str"/>
      <x:c r="B402" s="294" t="str"/>
      <x:c r="C402" s="235" t="str"/>
      <x:c r="D402" s="295" t="str">
        <x:v>9212</x:v>
      </x:c>
      <x:c r="E402" s="233" t="str">
        <x:v>Livestock Farm Labourers</x:v>
      </x:c>
      <x:c r="F402" s="233" t="str">
        <x:v>UNRESOLVED</x:v>
      </x:c>
      <x:c r="G402" s="233"/>
      <x:c r="H402" s="233" t="str"/>
      <x:c r="I402" s="233"/>
      <x:c r="J402" s="233" t="str">
        <x:v>PENDING</x:v>
      </x:c>
      <x:c r="K402" s="233" t="str">
        <x:v>Not Exposed</x:v>
      </x:c>
      <x:c r="L402" s="296" t="n">
        <x:v>0.12</x:v>
      </x:c>
      <x:c r="M402" s="296" t="n">
        <x:v>0.03</x:v>
      </x:c>
      <x:c r="N402" s="233" t="n">
        <x:v>0</x:v>
      </x:c>
      <x:c r="O402" s="233" t="str">
        <x:v>DRAFT_ORDINAL_MAPPING</x:v>
      </x:c>
      <x:c r="P402" s="233" t="str">
        <x:v>VERIFIED</x:v>
      </x:c>
      <x:c r="Q402" s="235" t="str"/>
      <x:c r="R402" s="235" t="str"/>
      <x:c r="S402" s="233" t="str">
        <x:v>ILO_SCORE25</x:v>
      </x:c>
      <x:c r="T402" s="233" t="str">
        <x:v>WP140 online Annex, Table A1</x:v>
      </x:c>
      <x:c r="U402" s="235" t="str">
        <x:v>PENDING</x:v>
      </x:c>
      <x:c r="V402" s="235" t="str">
        <x:v>Codex</x:v>
      </x:c>
      <x:c r="W402" s="297" t="str">
        <x:v>KBJI–ISCO belum dipetakan; skor 0–5 adalah transformasi ordinal draft.</x:v>
      </x:c>
    </x:row>
    <x:row r="403">
      <x:c r="A403" s="293" t="str"/>
      <x:c r="B403" s="294" t="str"/>
      <x:c r="C403" s="235" t="str"/>
      <x:c r="D403" s="295" t="str">
        <x:v>9214</x:v>
      </x:c>
      <x:c r="E403" s="233" t="str">
        <x:v>Garden and Horticultural Labourers</x:v>
      </x:c>
      <x:c r="F403" s="233" t="str">
        <x:v>UNRESOLVED</x:v>
      </x:c>
      <x:c r="G403" s="233"/>
      <x:c r="H403" s="233" t="str"/>
      <x:c r="I403" s="233"/>
      <x:c r="J403" s="233" t="str">
        <x:v>PENDING</x:v>
      </x:c>
      <x:c r="K403" s="233" t="str">
        <x:v>Not Exposed</x:v>
      </x:c>
      <x:c r="L403" s="296" t="n">
        <x:v>0.12</x:v>
      </x:c>
      <x:c r="M403" s="296" t="n">
        <x:v>0.02</x:v>
      </x:c>
      <x:c r="N403" s="233" t="n">
        <x:v>0</x:v>
      </x:c>
      <x:c r="O403" s="233" t="str">
        <x:v>DRAFT_ORDINAL_MAPPING</x:v>
      </x:c>
      <x:c r="P403" s="233" t="str">
        <x:v>VERIFIED</x:v>
      </x:c>
      <x:c r="Q403" s="235" t="str"/>
      <x:c r="R403" s="235" t="str"/>
      <x:c r="S403" s="233" t="str">
        <x:v>ILO_SCORE25</x:v>
      </x:c>
      <x:c r="T403" s="233" t="str">
        <x:v>WP140 online Annex, Table A1</x:v>
      </x:c>
      <x:c r="U403" s="235" t="str">
        <x:v>PENDING</x:v>
      </x:c>
      <x:c r="V403" s="235" t="str">
        <x:v>Codex</x:v>
      </x:c>
      <x:c r="W403" s="297" t="str">
        <x:v>KBJI–ISCO belum dipetakan; skor 0–5 adalah transformasi ordinal draft.</x:v>
      </x:c>
    </x:row>
    <x:row r="404">
      <x:c r="A404" s="293" t="str"/>
      <x:c r="B404" s="294" t="str"/>
      <x:c r="C404" s="235" t="str"/>
      <x:c r="D404" s="295" t="str">
        <x:v>9329</x:v>
      </x:c>
      <x:c r="E404" s="233" t="str">
        <x:v>Manufacturing Labourers Not Elsewhere Classified</x:v>
      </x:c>
      <x:c r="F404" s="233" t="str">
        <x:v>UNRESOLVED</x:v>
      </x:c>
      <x:c r="G404" s="233"/>
      <x:c r="H404" s="233" t="str"/>
      <x:c r="I404" s="233"/>
      <x:c r="J404" s="233" t="str">
        <x:v>PENDING</x:v>
      </x:c>
      <x:c r="K404" s="233" t="str">
        <x:v>Not Exposed</x:v>
      </x:c>
      <x:c r="L404" s="296" t="n">
        <x:v>0.12</x:v>
      </x:c>
      <x:c r="M404" s="296" t="n">
        <x:v>0.02</x:v>
      </x:c>
      <x:c r="N404" s="233" t="n">
        <x:v>0</x:v>
      </x:c>
      <x:c r="O404" s="233" t="str">
        <x:v>DRAFT_ORDINAL_MAPPING</x:v>
      </x:c>
      <x:c r="P404" s="233" t="str">
        <x:v>VERIFIED</x:v>
      </x:c>
      <x:c r="Q404" s="235" t="str"/>
      <x:c r="R404" s="235" t="str"/>
      <x:c r="S404" s="233" t="str">
        <x:v>ILO_SCORE25</x:v>
      </x:c>
      <x:c r="T404" s="233" t="str">
        <x:v>WP140 online Annex, Table A1</x:v>
      </x:c>
      <x:c r="U404" s="235" t="str">
        <x:v>PENDING</x:v>
      </x:c>
      <x:c r="V404" s="235" t="str">
        <x:v>Codex</x:v>
      </x:c>
      <x:c r="W404" s="297" t="str">
        <x:v>KBJI–ISCO belum dipetakan; skor 0–5 adalah transformasi ordinal draft.</x:v>
      </x:c>
    </x:row>
    <x:row r="405">
      <x:c r="A405" s="293" t="str"/>
      <x:c r="B405" s="294" t="str"/>
      <x:c r="C405" s="235" t="str"/>
      <x:c r="D405" s="295" t="str">
        <x:v>7113</x:v>
      </x:c>
      <x:c r="E405" s="233" t="str">
        <x:v>Stonemasons, Stone Cutters, Splitters and Carvers</x:v>
      </x:c>
      <x:c r="F405" s="233" t="str">
        <x:v>UNRESOLVED</x:v>
      </x:c>
      <x:c r="G405" s="233"/>
      <x:c r="H405" s="233" t="str"/>
      <x:c r="I405" s="233"/>
      <x:c r="J405" s="233" t="str">
        <x:v>PENDING</x:v>
      </x:c>
      <x:c r="K405" s="233" t="str">
        <x:v>Not Exposed</x:v>
      </x:c>
      <x:c r="L405" s="296" t="n">
        <x:v>0.11</x:v>
      </x:c>
      <x:c r="M405" s="296" t="n">
        <x:v>0.02</x:v>
      </x:c>
      <x:c r="N405" s="233" t="n">
        <x:v>0</x:v>
      </x:c>
      <x:c r="O405" s="233" t="str">
        <x:v>DRAFT_ORDINAL_MAPPING</x:v>
      </x:c>
      <x:c r="P405" s="233" t="str">
        <x:v>VERIFIED</x:v>
      </x:c>
      <x:c r="Q405" s="235" t="str"/>
      <x:c r="R405" s="235" t="str"/>
      <x:c r="S405" s="233" t="str">
        <x:v>ILO_SCORE25</x:v>
      </x:c>
      <x:c r="T405" s="233" t="str">
        <x:v>WP140 online Annex, Table A1</x:v>
      </x:c>
      <x:c r="U405" s="235" t="str">
        <x:v>PENDING</x:v>
      </x:c>
      <x:c r="V405" s="235" t="str">
        <x:v>Codex</x:v>
      </x:c>
      <x:c r="W405" s="297" t="str">
        <x:v>KBJI–ISCO belum dipetakan; skor 0–5 adalah transformasi ordinal draft.</x:v>
      </x:c>
    </x:row>
    <x:row r="406">
      <x:c r="A406" s="293" t="str"/>
      <x:c r="B406" s="294" t="str"/>
      <x:c r="C406" s="235" t="str"/>
      <x:c r="D406" s="295" t="str">
        <x:v>7123</x:v>
      </x:c>
      <x:c r="E406" s="233" t="str">
        <x:v>Plasterers</x:v>
      </x:c>
      <x:c r="F406" s="233" t="str">
        <x:v>UNRESOLVED</x:v>
      </x:c>
      <x:c r="G406" s="233"/>
      <x:c r="H406" s="233" t="str"/>
      <x:c r="I406" s="233"/>
      <x:c r="J406" s="233" t="str">
        <x:v>PENDING</x:v>
      </x:c>
      <x:c r="K406" s="233" t="str">
        <x:v>Not Exposed</x:v>
      </x:c>
      <x:c r="L406" s="296" t="n">
        <x:v>0.11</x:v>
      </x:c>
      <x:c r="M406" s="296" t="n">
        <x:v>0.01</x:v>
      </x:c>
      <x:c r="N406" s="233" t="n">
        <x:v>0</x:v>
      </x:c>
      <x:c r="O406" s="233" t="str">
        <x:v>DRAFT_ORDINAL_MAPPING</x:v>
      </x:c>
      <x:c r="P406" s="233" t="str">
        <x:v>VERIFIED</x:v>
      </x:c>
      <x:c r="Q406" s="235" t="str"/>
      <x:c r="R406" s="235" t="str"/>
      <x:c r="S406" s="233" t="str">
        <x:v>ILO_SCORE25</x:v>
      </x:c>
      <x:c r="T406" s="233" t="str">
        <x:v>WP140 online Annex, Table A1</x:v>
      </x:c>
      <x:c r="U406" s="235" t="str">
        <x:v>PENDING</x:v>
      </x:c>
      <x:c r="V406" s="235" t="str">
        <x:v>Codex</x:v>
      </x:c>
      <x:c r="W406" s="297" t="str">
        <x:v>KBJI–ISCO belum dipetakan; skor 0–5 adalah transformasi ordinal draft.</x:v>
      </x:c>
    </x:row>
    <x:row r="407">
      <x:c r="A407" s="293" t="str"/>
      <x:c r="B407" s="294" t="str"/>
      <x:c r="C407" s="235" t="str"/>
      <x:c r="D407" s="295" t="str">
        <x:v>7214</x:v>
      </x:c>
      <x:c r="E407" s="233" t="str">
        <x:v>Structural Metal Preparers and Erectors</x:v>
      </x:c>
      <x:c r="F407" s="233" t="str">
        <x:v>UNRESOLVED</x:v>
      </x:c>
      <x:c r="G407" s="233"/>
      <x:c r="H407" s="233" t="str"/>
      <x:c r="I407" s="233"/>
      <x:c r="J407" s="233" t="str">
        <x:v>PENDING</x:v>
      </x:c>
      <x:c r="K407" s="233" t="str">
        <x:v>Not Exposed</x:v>
      </x:c>
      <x:c r="L407" s="296" t="n">
        <x:v>0.11</x:v>
      </x:c>
      <x:c r="M407" s="296" t="n">
        <x:v>0.02</x:v>
      </x:c>
      <x:c r="N407" s="233" t="n">
        <x:v>0</x:v>
      </x:c>
      <x:c r="O407" s="233" t="str">
        <x:v>DRAFT_ORDINAL_MAPPING</x:v>
      </x:c>
      <x:c r="P407" s="233" t="str">
        <x:v>VERIFIED</x:v>
      </x:c>
      <x:c r="Q407" s="235" t="str"/>
      <x:c r="R407" s="235" t="str"/>
      <x:c r="S407" s="233" t="str">
        <x:v>ILO_SCORE25</x:v>
      </x:c>
      <x:c r="T407" s="233" t="str">
        <x:v>WP140 online Annex, Table A1</x:v>
      </x:c>
      <x:c r="U407" s="235" t="str">
        <x:v>PENDING</x:v>
      </x:c>
      <x:c r="V407" s="235" t="str">
        <x:v>Codex</x:v>
      </x:c>
      <x:c r="W407" s="297" t="str">
        <x:v>KBJI–ISCO belum dipetakan; skor 0–5 adalah transformasi ordinal draft.</x:v>
      </x:c>
    </x:row>
    <x:row r="408">
      <x:c r="A408" s="293" t="str"/>
      <x:c r="B408" s="294" t="str"/>
      <x:c r="C408" s="235" t="str"/>
      <x:c r="D408" s="295" t="str">
        <x:v>7535</x:v>
      </x:c>
      <x:c r="E408" s="233" t="str">
        <x:v>Pelt Dressers, Tanners and Fellmongers</x:v>
      </x:c>
      <x:c r="F408" s="233" t="str">
        <x:v>UNRESOLVED</x:v>
      </x:c>
      <x:c r="G408" s="233"/>
      <x:c r="H408" s="233" t="str"/>
      <x:c r="I408" s="233"/>
      <x:c r="J408" s="233" t="str">
        <x:v>PENDING</x:v>
      </x:c>
      <x:c r="K408" s="233" t="str">
        <x:v>Not Exposed</x:v>
      </x:c>
      <x:c r="L408" s="296" t="n">
        <x:v>0.11</x:v>
      </x:c>
      <x:c r="M408" s="296" t="n">
        <x:v>0.03</x:v>
      </x:c>
      <x:c r="N408" s="233" t="n">
        <x:v>0</x:v>
      </x:c>
      <x:c r="O408" s="233" t="str">
        <x:v>DRAFT_ORDINAL_MAPPING</x:v>
      </x:c>
      <x:c r="P408" s="233" t="str">
        <x:v>VERIFIED</x:v>
      </x:c>
      <x:c r="Q408" s="235" t="str"/>
      <x:c r="R408" s="235" t="str"/>
      <x:c r="S408" s="233" t="str">
        <x:v>ILO_SCORE25</x:v>
      </x:c>
      <x:c r="T408" s="233" t="str">
        <x:v>WP140 online Annex, Table A1</x:v>
      </x:c>
      <x:c r="U408" s="235" t="str">
        <x:v>PENDING</x:v>
      </x:c>
      <x:c r="V408" s="235" t="str">
        <x:v>Codex</x:v>
      </x:c>
      <x:c r="W408" s="297" t="str">
        <x:v>KBJI–ISCO belum dipetakan; skor 0–5 adalah transformasi ordinal draft.</x:v>
      </x:c>
    </x:row>
    <x:row r="409">
      <x:c r="A409" s="293" t="str"/>
      <x:c r="B409" s="294" t="str"/>
      <x:c r="C409" s="235" t="str"/>
      <x:c r="D409" s="295" t="str">
        <x:v>9123</x:v>
      </x:c>
      <x:c r="E409" s="233" t="str">
        <x:v>Window Cleaners</x:v>
      </x:c>
      <x:c r="F409" s="233" t="str">
        <x:v>UNRESOLVED</x:v>
      </x:c>
      <x:c r="G409" s="233"/>
      <x:c r="H409" s="233" t="str"/>
      <x:c r="I409" s="233"/>
      <x:c r="J409" s="233" t="str">
        <x:v>PENDING</x:v>
      </x:c>
      <x:c r="K409" s="233" t="str">
        <x:v>Not Exposed</x:v>
      </x:c>
      <x:c r="L409" s="296" t="n">
        <x:v>0.11</x:v>
      </x:c>
      <x:c r="M409" s="296" t="n">
        <x:v>0.03</x:v>
      </x:c>
      <x:c r="N409" s="233" t="n">
        <x:v>0</x:v>
      </x:c>
      <x:c r="O409" s="233" t="str">
        <x:v>DRAFT_ORDINAL_MAPPING</x:v>
      </x:c>
      <x:c r="P409" s="233" t="str">
        <x:v>VERIFIED</x:v>
      </x:c>
      <x:c r="Q409" s="235" t="str"/>
      <x:c r="R409" s="235" t="str"/>
      <x:c r="S409" s="233" t="str">
        <x:v>ILO_SCORE25</x:v>
      </x:c>
      <x:c r="T409" s="233" t="str">
        <x:v>WP140 online Annex, Table A1</x:v>
      </x:c>
      <x:c r="U409" s="235" t="str">
        <x:v>PENDING</x:v>
      </x:c>
      <x:c r="V409" s="235" t="str">
        <x:v>Codex</x:v>
      </x:c>
      <x:c r="W409" s="297" t="str">
        <x:v>KBJI–ISCO belum dipetakan; skor 0–5 adalah transformasi ordinal draft.</x:v>
      </x:c>
    </x:row>
    <x:row r="410">
      <x:c r="A410" s="293" t="str"/>
      <x:c r="B410" s="294" t="str"/>
      <x:c r="C410" s="235" t="str"/>
      <x:c r="D410" s="295" t="str">
        <x:v>9213</x:v>
      </x:c>
      <x:c r="E410" s="233" t="str">
        <x:v>Mixed Crop and Livestock Farm Labourers</x:v>
      </x:c>
      <x:c r="F410" s="233" t="str">
        <x:v>UNRESOLVED</x:v>
      </x:c>
      <x:c r="G410" s="233"/>
      <x:c r="H410" s="233" t="str"/>
      <x:c r="I410" s="233"/>
      <x:c r="J410" s="233" t="str">
        <x:v>PENDING</x:v>
      </x:c>
      <x:c r="K410" s="233" t="str">
        <x:v>Not Exposed</x:v>
      </x:c>
      <x:c r="L410" s="296" t="n">
        <x:v>0.11</x:v>
      </x:c>
      <x:c r="M410" s="296" t="n">
        <x:v>0.03</x:v>
      </x:c>
      <x:c r="N410" s="233" t="n">
        <x:v>0</x:v>
      </x:c>
      <x:c r="O410" s="233" t="str">
        <x:v>DRAFT_ORDINAL_MAPPING</x:v>
      </x:c>
      <x:c r="P410" s="233" t="str">
        <x:v>VERIFIED</x:v>
      </x:c>
      <x:c r="Q410" s="235" t="str"/>
      <x:c r="R410" s="235" t="str"/>
      <x:c r="S410" s="233" t="str">
        <x:v>ILO_SCORE25</x:v>
      </x:c>
      <x:c r="T410" s="233" t="str">
        <x:v>WP140 online Annex, Table A1</x:v>
      </x:c>
      <x:c r="U410" s="235" t="str">
        <x:v>PENDING</x:v>
      </x:c>
      <x:c r="V410" s="235" t="str">
        <x:v>Codex</x:v>
      </x:c>
      <x:c r="W410" s="297" t="str">
        <x:v>KBJI–ISCO belum dipetakan; skor 0–5 adalah transformasi ordinal draft.</x:v>
      </x:c>
    </x:row>
    <x:row r="411">
      <x:c r="A411" s="293" t="str"/>
      <x:c r="B411" s="294" t="str"/>
      <x:c r="C411" s="235" t="str"/>
      <x:c r="D411" s="295" t="str">
        <x:v>9216</x:v>
      </x:c>
      <x:c r="E411" s="233" t="str">
        <x:v>Fishery and Aquaculture Labourers</x:v>
      </x:c>
      <x:c r="F411" s="233" t="str">
        <x:v>UNRESOLVED</x:v>
      </x:c>
      <x:c r="G411" s="233"/>
      <x:c r="H411" s="233" t="str"/>
      <x:c r="I411" s="233"/>
      <x:c r="J411" s="233" t="str">
        <x:v>PENDING</x:v>
      </x:c>
      <x:c r="K411" s="233" t="str">
        <x:v>Not Exposed</x:v>
      </x:c>
      <x:c r="L411" s="296" t="n">
        <x:v>0.11</x:v>
      </x:c>
      <x:c r="M411" s="296" t="n">
        <x:v>0.03</x:v>
      </x:c>
      <x:c r="N411" s="233" t="n">
        <x:v>0</x:v>
      </x:c>
      <x:c r="O411" s="233" t="str">
        <x:v>DRAFT_ORDINAL_MAPPING</x:v>
      </x:c>
      <x:c r="P411" s="233" t="str">
        <x:v>VERIFIED</x:v>
      </x:c>
      <x:c r="Q411" s="235" t="str"/>
      <x:c r="R411" s="235" t="str"/>
      <x:c r="S411" s="233" t="str">
        <x:v>ILO_SCORE25</x:v>
      </x:c>
      <x:c r="T411" s="233" t="str">
        <x:v>WP140 online Annex, Table A1</x:v>
      </x:c>
      <x:c r="U411" s="235" t="str">
        <x:v>PENDING</x:v>
      </x:c>
      <x:c r="V411" s="235" t="str">
        <x:v>Codex</x:v>
      </x:c>
      <x:c r="W411" s="297" t="str">
        <x:v>KBJI–ISCO belum dipetakan; skor 0–5 adalah transformasi ordinal draft.</x:v>
      </x:c>
    </x:row>
    <x:row r="412">
      <x:c r="A412" s="293" t="str"/>
      <x:c r="B412" s="294" t="str"/>
      <x:c r="C412" s="235" t="str"/>
      <x:c r="D412" s="295" t="str">
        <x:v>9311</x:v>
      </x:c>
      <x:c r="E412" s="233" t="str">
        <x:v>Mining and Quarrying Labourers</x:v>
      </x:c>
      <x:c r="F412" s="233" t="str">
        <x:v>UNRESOLVED</x:v>
      </x:c>
      <x:c r="G412" s="233"/>
      <x:c r="H412" s="233" t="str"/>
      <x:c r="I412" s="233"/>
      <x:c r="J412" s="233" t="str">
        <x:v>PENDING</x:v>
      </x:c>
      <x:c r="K412" s="233" t="str">
        <x:v>Not Exposed</x:v>
      </x:c>
      <x:c r="L412" s="296" t="n">
        <x:v>0.11</x:v>
      </x:c>
      <x:c r="M412" s="296" t="n">
        <x:v>0.02</x:v>
      </x:c>
      <x:c r="N412" s="233" t="n">
        <x:v>0</x:v>
      </x:c>
      <x:c r="O412" s="233" t="str">
        <x:v>DRAFT_ORDINAL_MAPPING</x:v>
      </x:c>
      <x:c r="P412" s="233" t="str">
        <x:v>VERIFIED</x:v>
      </x:c>
      <x:c r="Q412" s="235" t="str"/>
      <x:c r="R412" s="235" t="str"/>
      <x:c r="S412" s="233" t="str">
        <x:v>ILO_SCORE25</x:v>
      </x:c>
      <x:c r="T412" s="233" t="str">
        <x:v>WP140 online Annex, Table A1</x:v>
      </x:c>
      <x:c r="U412" s="235" t="str">
        <x:v>PENDING</x:v>
      </x:c>
      <x:c r="V412" s="235" t="str">
        <x:v>Codex</x:v>
      </x:c>
      <x:c r="W412" s="297" t="str">
        <x:v>KBJI–ISCO belum dipetakan; skor 0–5 adalah transformasi ordinal draft.</x:v>
      </x:c>
    </x:row>
    <x:row r="413">
      <x:c r="A413" s="293" t="str"/>
      <x:c r="B413" s="294" t="str"/>
      <x:c r="C413" s="235" t="str"/>
      <x:c r="D413" s="295" t="str">
        <x:v>9622</x:v>
      </x:c>
      <x:c r="E413" s="233" t="str">
        <x:v>Odd Job Persons</x:v>
      </x:c>
      <x:c r="F413" s="233" t="str">
        <x:v>UNRESOLVED</x:v>
      </x:c>
      <x:c r="G413" s="233"/>
      <x:c r="H413" s="233" t="str"/>
      <x:c r="I413" s="233"/>
      <x:c r="J413" s="233" t="str">
        <x:v>PENDING</x:v>
      </x:c>
      <x:c r="K413" s="233" t="str">
        <x:v>Not Exposed</x:v>
      </x:c>
      <x:c r="L413" s="296" t="n">
        <x:v>0.11</x:v>
      </x:c>
      <x:c r="M413" s="296" t="n">
        <x:v>0.03</x:v>
      </x:c>
      <x:c r="N413" s="233" t="n">
        <x:v>0</x:v>
      </x:c>
      <x:c r="O413" s="233" t="str">
        <x:v>DRAFT_ORDINAL_MAPPING</x:v>
      </x:c>
      <x:c r="P413" s="233" t="str">
        <x:v>VERIFIED</x:v>
      </x:c>
      <x:c r="Q413" s="235" t="str"/>
      <x:c r="R413" s="235" t="str"/>
      <x:c r="S413" s="233" t="str">
        <x:v>ILO_SCORE25</x:v>
      </x:c>
      <x:c r="T413" s="233" t="str">
        <x:v>WP140 online Annex, Table A1</x:v>
      </x:c>
      <x:c r="U413" s="235" t="str">
        <x:v>PENDING</x:v>
      </x:c>
      <x:c r="V413" s="235" t="str">
        <x:v>Codex</x:v>
      </x:c>
      <x:c r="W413" s="297" t="str">
        <x:v>KBJI–ISCO belum dipetakan; skor 0–5 adalah transformasi ordinal draft.</x:v>
      </x:c>
    </x:row>
    <x:row r="414">
      <x:c r="A414" s="293" t="str"/>
      <x:c r="B414" s="294" t="str"/>
      <x:c r="C414" s="235" t="str"/>
      <x:c r="D414" s="295" t="str">
        <x:v>7114</x:v>
      </x:c>
      <x:c r="E414" s="233" t="str">
        <x:v>Concrete Placers, Concrete Finishers and Related Workers</x:v>
      </x:c>
      <x:c r="F414" s="233" t="str">
        <x:v>UNRESOLVED</x:v>
      </x:c>
      <x:c r="G414" s="233"/>
      <x:c r="H414" s="233" t="str"/>
      <x:c r="I414" s="233"/>
      <x:c r="J414" s="233" t="str">
        <x:v>PENDING</x:v>
      </x:c>
      <x:c r="K414" s="233" t="str">
        <x:v>Not Exposed</x:v>
      </x:c>
      <x:c r="L414" s="296" t="n">
        <x:v>0.1</x:v>
      </x:c>
      <x:c r="M414" s="296" t="n">
        <x:v>0.03</x:v>
      </x:c>
      <x:c r="N414" s="233" t="n">
        <x:v>0</x:v>
      </x:c>
      <x:c r="O414" s="233" t="str">
        <x:v>DRAFT_ORDINAL_MAPPING</x:v>
      </x:c>
      <x:c r="P414" s="233" t="str">
        <x:v>VERIFIED</x:v>
      </x:c>
      <x:c r="Q414" s="235" t="str"/>
      <x:c r="R414" s="235" t="str"/>
      <x:c r="S414" s="233" t="str">
        <x:v>ILO_SCORE25</x:v>
      </x:c>
      <x:c r="T414" s="233" t="str">
        <x:v>WP140 online Annex, Table A1</x:v>
      </x:c>
      <x:c r="U414" s="235" t="str">
        <x:v>PENDING</x:v>
      </x:c>
      <x:c r="V414" s="235" t="str">
        <x:v>Codex</x:v>
      </x:c>
      <x:c r="W414" s="297" t="str">
        <x:v>KBJI–ISCO belum dipetakan; skor 0–5 adalah transformasi ordinal draft.</x:v>
      </x:c>
    </x:row>
    <x:row r="415">
      <x:c r="A415" s="293" t="str"/>
      <x:c r="B415" s="294" t="str"/>
      <x:c r="C415" s="235" t="str"/>
      <x:c r="D415" s="295" t="str">
        <x:v>7122</x:v>
      </x:c>
      <x:c r="E415" s="233" t="str">
        <x:v>Floor Layers and Tile Setters</x:v>
      </x:c>
      <x:c r="F415" s="233" t="str">
        <x:v>UNRESOLVED</x:v>
      </x:c>
      <x:c r="G415" s="233"/>
      <x:c r="H415" s="233" t="str"/>
      <x:c r="I415" s="233"/>
      <x:c r="J415" s="233" t="str">
        <x:v>PENDING</x:v>
      </x:c>
      <x:c r="K415" s="233" t="str">
        <x:v>Not Exposed</x:v>
      </x:c>
      <x:c r="L415" s="296" t="n">
        <x:v>0.1</x:v>
      </x:c>
      <x:c r="M415" s="296" t="n">
        <x:v>0.02</x:v>
      </x:c>
      <x:c r="N415" s="233" t="n">
        <x:v>0</x:v>
      </x:c>
      <x:c r="O415" s="233" t="str">
        <x:v>DRAFT_ORDINAL_MAPPING</x:v>
      </x:c>
      <x:c r="P415" s="233" t="str">
        <x:v>VERIFIED</x:v>
      </x:c>
      <x:c r="Q415" s="235" t="str"/>
      <x:c r="R415" s="235" t="str"/>
      <x:c r="S415" s="233" t="str">
        <x:v>ILO_SCORE25</x:v>
      </x:c>
      <x:c r="T415" s="233" t="str">
        <x:v>WP140 online Annex, Table A1</x:v>
      </x:c>
      <x:c r="U415" s="235" t="str">
        <x:v>PENDING</x:v>
      </x:c>
      <x:c r="V415" s="235" t="str">
        <x:v>Codex</x:v>
      </x:c>
      <x:c r="W415" s="297" t="str">
        <x:v>KBJI–ISCO belum dipetakan; skor 0–5 adalah transformasi ordinal draft.</x:v>
      </x:c>
    </x:row>
    <x:row r="416">
      <x:c r="A416" s="293" t="str"/>
      <x:c r="B416" s="294" t="str"/>
      <x:c r="C416" s="235" t="str"/>
      <x:c r="D416" s="295" t="str">
        <x:v>9129</x:v>
      </x:c>
      <x:c r="E416" s="233" t="str">
        <x:v>Other Cleaning Workers</x:v>
      </x:c>
      <x:c r="F416" s="233" t="str">
        <x:v>UNRESOLVED</x:v>
      </x:c>
      <x:c r="G416" s="233"/>
      <x:c r="H416" s="233" t="str"/>
      <x:c r="I416" s="233"/>
      <x:c r="J416" s="233" t="str">
        <x:v>PENDING</x:v>
      </x:c>
      <x:c r="K416" s="233" t="str">
        <x:v>Not Exposed</x:v>
      </x:c>
      <x:c r="L416" s="296" t="n">
        <x:v>0.1</x:v>
      </x:c>
      <x:c r="M416" s="296" t="n">
        <x:v>0.01</x:v>
      </x:c>
      <x:c r="N416" s="233" t="n">
        <x:v>0</x:v>
      </x:c>
      <x:c r="O416" s="233" t="str">
        <x:v>DRAFT_ORDINAL_MAPPING</x:v>
      </x:c>
      <x:c r="P416" s="233" t="str">
        <x:v>VERIFIED</x:v>
      </x:c>
      <x:c r="Q416" s="235" t="str"/>
      <x:c r="R416" s="235" t="str"/>
      <x:c r="S416" s="233" t="str">
        <x:v>ILO_SCORE25</x:v>
      </x:c>
      <x:c r="T416" s="233" t="str">
        <x:v>WP140 online Annex, Table A1</x:v>
      </x:c>
      <x:c r="U416" s="235" t="str">
        <x:v>PENDING</x:v>
      </x:c>
      <x:c r="V416" s="235" t="str">
        <x:v>Codex</x:v>
      </x:c>
      <x:c r="W416" s="297" t="str">
        <x:v>KBJI–ISCO belum dipetakan; skor 0–5 adalah transformasi ordinal draft.</x:v>
      </x:c>
    </x:row>
    <x:row r="417">
      <x:c r="A417" s="293" t="str"/>
      <x:c r="B417" s="294" t="str"/>
      <x:c r="C417" s="235" t="str"/>
      <x:c r="D417" s="295" t="str">
        <x:v>6224</x:v>
      </x:c>
      <x:c r="E417" s="233" t="str">
        <x:v>Hunters and Trappers</x:v>
      </x:c>
      <x:c r="F417" s="233" t="str">
        <x:v>UNRESOLVED</x:v>
      </x:c>
      <x:c r="G417" s="233"/>
      <x:c r="H417" s="233" t="str"/>
      <x:c r="I417" s="233"/>
      <x:c r="J417" s="233" t="str">
        <x:v>PENDING</x:v>
      </x:c>
      <x:c r="K417" s="233" t="str">
        <x:v>Not Exposed</x:v>
      </x:c>
      <x:c r="L417" s="296" t="n">
        <x:v>0.09</x:v>
      </x:c>
      <x:c r="M417" s="296" t="n">
        <x:v>0.03</x:v>
      </x:c>
      <x:c r="N417" s="233" t="n">
        <x:v>0</x:v>
      </x:c>
      <x:c r="O417" s="233" t="str">
        <x:v>DRAFT_ORDINAL_MAPPING</x:v>
      </x:c>
      <x:c r="P417" s="233" t="str">
        <x:v>VERIFIED</x:v>
      </x:c>
      <x:c r="Q417" s="235" t="str"/>
      <x:c r="R417" s="235" t="str"/>
      <x:c r="S417" s="233" t="str">
        <x:v>ILO_SCORE25</x:v>
      </x:c>
      <x:c r="T417" s="233" t="str">
        <x:v>WP140 online Annex, Table A1</x:v>
      </x:c>
      <x:c r="U417" s="235" t="str">
        <x:v>PENDING</x:v>
      </x:c>
      <x:c r="V417" s="235" t="str">
        <x:v>Codex</x:v>
      </x:c>
      <x:c r="W417" s="297" t="str">
        <x:v>KBJI–ISCO belum dipetakan; skor 0–5 adalah transformasi ordinal draft.</x:v>
      </x:c>
    </x:row>
    <x:row r="418">
      <x:c r="A418" s="293" t="str"/>
      <x:c r="B418" s="294" t="str"/>
      <x:c r="C418" s="235" t="str"/>
      <x:c r="D418" s="295" t="str">
        <x:v>7112</x:v>
      </x:c>
      <x:c r="E418" s="233" t="str">
        <x:v>Bricklayers and Related Workers</x:v>
      </x:c>
      <x:c r="F418" s="233" t="str">
        <x:v>UNRESOLVED</x:v>
      </x:c>
      <x:c r="G418" s="233"/>
      <x:c r="H418" s="233" t="str"/>
      <x:c r="I418" s="233"/>
      <x:c r="J418" s="233" t="str">
        <x:v>PENDING</x:v>
      </x:c>
      <x:c r="K418" s="233" t="str">
        <x:v>Not Exposed</x:v>
      </x:c>
      <x:c r="L418" s="296" t="n">
        <x:v>0.09</x:v>
      </x:c>
      <x:c r="M418" s="296" t="n">
        <x:v>0.01</x:v>
      </x:c>
      <x:c r="N418" s="233" t="n">
        <x:v>0</x:v>
      </x:c>
      <x:c r="O418" s="233" t="str">
        <x:v>DRAFT_ORDINAL_MAPPING</x:v>
      </x:c>
      <x:c r="P418" s="233" t="str">
        <x:v>VERIFIED</x:v>
      </x:c>
      <x:c r="Q418" s="235" t="str"/>
      <x:c r="R418" s="235" t="str"/>
      <x:c r="S418" s="233" t="str">
        <x:v>ILO_SCORE25</x:v>
      </x:c>
      <x:c r="T418" s="233" t="str">
        <x:v>WP140 online Annex, Table A1</x:v>
      </x:c>
      <x:c r="U418" s="235" t="str">
        <x:v>PENDING</x:v>
      </x:c>
      <x:c r="V418" s="235" t="str">
        <x:v>Codex</x:v>
      </x:c>
      <x:c r="W418" s="297" t="str">
        <x:v>KBJI–ISCO belum dipetakan; skor 0–5 adalah transformasi ordinal draft.</x:v>
      </x:c>
    </x:row>
    <x:row r="419">
      <x:c r="A419" s="293" t="str"/>
      <x:c r="B419" s="294" t="str"/>
      <x:c r="C419" s="235" t="str"/>
      <x:c r="D419" s="295" t="str">
        <x:v>7119</x:v>
      </x:c>
      <x:c r="E419" s="233" t="str">
        <x:v>Building Frame and Related Trades Workers Not Elsewhere Classified</x:v>
      </x:c>
      <x:c r="F419" s="233" t="str">
        <x:v>UNRESOLVED</x:v>
      </x:c>
      <x:c r="G419" s="233"/>
      <x:c r="H419" s="233" t="str"/>
      <x:c r="I419" s="233"/>
      <x:c r="J419" s="233" t="str">
        <x:v>PENDING</x:v>
      </x:c>
      <x:c r="K419" s="233" t="str">
        <x:v>Not Exposed</x:v>
      </x:c>
      <x:c r="L419" s="296" t="n">
        <x:v>0.09</x:v>
      </x:c>
      <x:c r="M419" s="296" t="n">
        <x:v>0.01</x:v>
      </x:c>
      <x:c r="N419" s="233" t="n">
        <x:v>0</x:v>
      </x:c>
      <x:c r="O419" s="233" t="str">
        <x:v>DRAFT_ORDINAL_MAPPING</x:v>
      </x:c>
      <x:c r="P419" s="233" t="str">
        <x:v>VERIFIED</x:v>
      </x:c>
      <x:c r="Q419" s="235" t="str"/>
      <x:c r="R419" s="235" t="str"/>
      <x:c r="S419" s="233" t="str">
        <x:v>ILO_SCORE25</x:v>
      </x:c>
      <x:c r="T419" s="233" t="str">
        <x:v>WP140 online Annex, Table A1</x:v>
      </x:c>
      <x:c r="U419" s="235" t="str">
        <x:v>PENDING</x:v>
      </x:c>
      <x:c r="V419" s="235" t="str">
        <x:v>Codex</x:v>
      </x:c>
      <x:c r="W419" s="297" t="str">
        <x:v>KBJI–ISCO belum dipetakan; skor 0–5 adalah transformasi ordinal draft.</x:v>
      </x:c>
    </x:row>
    <x:row r="420">
      <x:c r="A420" s="293" t="str"/>
      <x:c r="B420" s="294" t="str"/>
      <x:c r="C420" s="235" t="str"/>
      <x:c r="D420" s="295" t="str">
        <x:v>7133</x:v>
      </x:c>
      <x:c r="E420" s="233" t="str">
        <x:v>Building Structure Cleaners</x:v>
      </x:c>
      <x:c r="F420" s="233" t="str">
        <x:v>UNRESOLVED</x:v>
      </x:c>
      <x:c r="G420" s="233"/>
      <x:c r="H420" s="233" t="str"/>
      <x:c r="I420" s="233"/>
      <x:c r="J420" s="233" t="str">
        <x:v>PENDING</x:v>
      </x:c>
      <x:c r="K420" s="233" t="str">
        <x:v>Not Exposed</x:v>
      </x:c>
      <x:c r="L420" s="296" t="n">
        <x:v>0.09</x:v>
      </x:c>
      <x:c r="M420" s="296" t="n">
        <x:v>0.01</x:v>
      </x:c>
      <x:c r="N420" s="233" t="n">
        <x:v>0</x:v>
      </x:c>
      <x:c r="O420" s="233" t="str">
        <x:v>DRAFT_ORDINAL_MAPPING</x:v>
      </x:c>
      <x:c r="P420" s="233" t="str">
        <x:v>VERIFIED</x:v>
      </x:c>
      <x:c r="Q420" s="235" t="str"/>
      <x:c r="R420" s="235" t="str"/>
      <x:c r="S420" s="233" t="str">
        <x:v>ILO_SCORE25</x:v>
      </x:c>
      <x:c r="T420" s="233" t="str">
        <x:v>WP140 online Annex, Table A1</x:v>
      </x:c>
      <x:c r="U420" s="235" t="str">
        <x:v>PENDING</x:v>
      </x:c>
      <x:c r="V420" s="235" t="str">
        <x:v>Codex</x:v>
      </x:c>
      <x:c r="W420" s="297" t="str">
        <x:v>KBJI–ISCO belum dipetakan; skor 0–5 adalah transformasi ordinal draft.</x:v>
      </x:c>
    </x:row>
    <x:row r="421">
      <x:c r="A421" s="293" t="str"/>
      <x:c r="B421" s="294" t="str"/>
      <x:c r="C421" s="235" t="str"/>
      <x:c r="D421" s="295" t="str">
        <x:v>9122</x:v>
      </x:c>
      <x:c r="E421" s="233" t="str">
        <x:v>Vehicle Cleaners</x:v>
      </x:c>
      <x:c r="F421" s="233" t="str">
        <x:v>UNRESOLVED</x:v>
      </x:c>
      <x:c r="G421" s="233"/>
      <x:c r="H421" s="233" t="str"/>
      <x:c r="I421" s="233"/>
      <x:c r="J421" s="233" t="str">
        <x:v>PENDING</x:v>
      </x:c>
      <x:c r="K421" s="233" t="str">
        <x:v>Not Exposed</x:v>
      </x:c>
      <x:c r="L421" s="296" t="n">
        <x:v>0.09</x:v>
      </x:c>
      <x:c r="M421" s="296" t="n">
        <x:v>0.01</x:v>
      </x:c>
      <x:c r="N421" s="233" t="n">
        <x:v>0</x:v>
      </x:c>
      <x:c r="O421" s="233" t="str">
        <x:v>DRAFT_ORDINAL_MAPPING</x:v>
      </x:c>
      <x:c r="P421" s="233" t="str">
        <x:v>VERIFIED</x:v>
      </x:c>
      <x:c r="Q421" s="235" t="str"/>
      <x:c r="R421" s="235" t="str"/>
      <x:c r="S421" s="233" t="str">
        <x:v>ILO_SCORE25</x:v>
      </x:c>
      <x:c r="T421" s="233" t="str">
        <x:v>WP140 online Annex, Table A1</x:v>
      </x:c>
      <x:c r="U421" s="235" t="str">
        <x:v>PENDING</x:v>
      </x:c>
      <x:c r="V421" s="235" t="str">
        <x:v>Codex</x:v>
      </x:c>
      <x:c r="W421" s="297" t="str">
        <x:v>KBJI–ISCO belum dipetakan; skor 0–5 adalah transformasi ordinal draft.</x:v>
      </x:c>
    </x:row>
    <x:row r="422">
      <x:c r="A422" s="293" t="str"/>
      <x:c r="B422" s="294" t="str"/>
      <x:c r="C422" s="235" t="str"/>
      <x:c r="D422" s="295" t="str">
        <x:v>9211</x:v>
      </x:c>
      <x:c r="E422" s="233" t="str">
        <x:v>Crop Farm Labourers</x:v>
      </x:c>
      <x:c r="F422" s="233" t="str">
        <x:v>UNRESOLVED</x:v>
      </x:c>
      <x:c r="G422" s="233"/>
      <x:c r="H422" s="233" t="str"/>
      <x:c r="I422" s="233"/>
      <x:c r="J422" s="233" t="str">
        <x:v>PENDING</x:v>
      </x:c>
      <x:c r="K422" s="233" t="str">
        <x:v>Not Exposed</x:v>
      </x:c>
      <x:c r="L422" s="296" t="n">
        <x:v>0.09</x:v>
      </x:c>
      <x:c r="M422" s="296" t="n">
        <x:v>0.02</x:v>
      </x:c>
      <x:c r="N422" s="233" t="n">
        <x:v>0</x:v>
      </x:c>
      <x:c r="O422" s="233" t="str">
        <x:v>DRAFT_ORDINAL_MAPPING</x:v>
      </x:c>
      <x:c r="P422" s="233" t="str">
        <x:v>VERIFIED</x:v>
      </x:c>
      <x:c r="Q422" s="235" t="str"/>
      <x:c r="R422" s="235" t="str"/>
      <x:c r="S422" s="233" t="str">
        <x:v>ILO_SCORE25</x:v>
      </x:c>
      <x:c r="T422" s="233" t="str">
        <x:v>WP140 online Annex, Table A1</x:v>
      </x:c>
      <x:c r="U422" s="235" t="str">
        <x:v>PENDING</x:v>
      </x:c>
      <x:c r="V422" s="235" t="str">
        <x:v>Codex</x:v>
      </x:c>
      <x:c r="W422" s="297" t="str">
        <x:v>KBJI–ISCO belum dipetakan; skor 0–5 adalah transformasi ordinal draft.</x:v>
      </x:c>
    </x:row>
    <x:row r="423">
      <x:c r="A423" s="293" t="str"/>
      <x:c r="B423" s="294" t="str"/>
      <x:c r="C423" s="235" t="str"/>
      <x:c r="D423" s="295" t="str">
        <x:v>9215</x:v>
      </x:c>
      <x:c r="E423" s="233" t="str">
        <x:v>Forestry Labourers</x:v>
      </x:c>
      <x:c r="F423" s="233" t="str">
        <x:v>UNRESOLVED</x:v>
      </x:c>
      <x:c r="G423" s="233"/>
      <x:c r="H423" s="233" t="str"/>
      <x:c r="I423" s="233"/>
      <x:c r="J423" s="233" t="str">
        <x:v>PENDING</x:v>
      </x:c>
      <x:c r="K423" s="233" t="str">
        <x:v>Not Exposed</x:v>
      </x:c>
      <x:c r="L423" s="296" t="n">
        <x:v>0.09</x:v>
      </x:c>
      <x:c r="M423" s="296" t="n">
        <x:v>0.02</x:v>
      </x:c>
      <x:c r="N423" s="233" t="n">
        <x:v>0</x:v>
      </x:c>
      <x:c r="O423" s="233" t="str">
        <x:v>DRAFT_ORDINAL_MAPPING</x:v>
      </x:c>
      <x:c r="P423" s="233" t="str">
        <x:v>VERIFIED</x:v>
      </x:c>
      <x:c r="Q423" s="235" t="str"/>
      <x:c r="R423" s="235" t="str"/>
      <x:c r="S423" s="233" t="str">
        <x:v>ILO_SCORE25</x:v>
      </x:c>
      <x:c r="T423" s="233" t="str">
        <x:v>WP140 online Annex, Table A1</x:v>
      </x:c>
      <x:c r="U423" s="235" t="str">
        <x:v>PENDING</x:v>
      </x:c>
      <x:c r="V423" s="235" t="str">
        <x:v>Codex</x:v>
      </x:c>
      <x:c r="W423" s="297" t="str">
        <x:v>KBJI–ISCO belum dipetakan; skor 0–5 adalah transformasi ordinal draft.</x:v>
      </x:c>
    </x:row>
    <x:row r="424">
      <x:c r="A424" s="293" t="str"/>
      <x:c r="B424" s="294" t="str"/>
      <x:c r="C424" s="235" t="str"/>
      <x:c r="D424" s="295" t="str">
        <x:v>9312</x:v>
      </x:c>
      <x:c r="E424" s="233" t="str">
        <x:v>Civil Engineering Labourers</x:v>
      </x:c>
      <x:c r="F424" s="233" t="str">
        <x:v>UNRESOLVED</x:v>
      </x:c>
      <x:c r="G424" s="233"/>
      <x:c r="H424" s="233" t="str"/>
      <x:c r="I424" s="233"/>
      <x:c r="J424" s="233" t="str">
        <x:v>PENDING</x:v>
      </x:c>
      <x:c r="K424" s="233" t="str">
        <x:v>Not Exposed</x:v>
      </x:c>
      <x:c r="L424" s="296" t="n">
        <x:v>0.09</x:v>
      </x:c>
      <x:c r="M424" s="296" t="n">
        <x:v>0.02</x:v>
      </x:c>
      <x:c r="N424" s="233" t="n">
        <x:v>0</x:v>
      </x:c>
      <x:c r="O424" s="233" t="str">
        <x:v>DRAFT_ORDINAL_MAPPING</x:v>
      </x:c>
      <x:c r="P424" s="233" t="str">
        <x:v>VERIFIED</x:v>
      </x:c>
      <x:c r="Q424" s="235" t="str"/>
      <x:c r="R424" s="235" t="str"/>
      <x:c r="S424" s="233" t="str">
        <x:v>ILO_SCORE25</x:v>
      </x:c>
      <x:c r="T424" s="233" t="str">
        <x:v>WP140 online Annex, Table A1</x:v>
      </x:c>
      <x:c r="U424" s="235" t="str">
        <x:v>PENDING</x:v>
      </x:c>
      <x:c r="V424" s="235" t="str">
        <x:v>Codex</x:v>
      </x:c>
      <x:c r="W424" s="297" t="str">
        <x:v>KBJI–ISCO belum dipetakan; skor 0–5 adalah transformasi ordinal draft.</x:v>
      </x:c>
    </x:row>
    <x:row r="425">
      <x:c r="A425" s="293" t="str"/>
      <x:c r="B425" s="294" t="str"/>
      <x:c r="C425" s="235" t="str"/>
      <x:c r="D425" s="295" t="str">
        <x:v>9313</x:v>
      </x:c>
      <x:c r="E425" s="233" t="str">
        <x:v>Building Construction Labourers</x:v>
      </x:c>
      <x:c r="F425" s="233" t="str">
        <x:v>UNRESOLVED</x:v>
      </x:c>
      <x:c r="G425" s="233"/>
      <x:c r="H425" s="233" t="str"/>
      <x:c r="I425" s="233"/>
      <x:c r="J425" s="233" t="str">
        <x:v>PENDING</x:v>
      </x:c>
      <x:c r="K425" s="233" t="str">
        <x:v>Not Exposed</x:v>
      </x:c>
      <x:c r="L425" s="296" t="n">
        <x:v>0.09</x:v>
      </x:c>
      <x:c r="M425" s="296" t="n">
        <x:v>0.02</x:v>
      </x:c>
      <x:c r="N425" s="233" t="n">
        <x:v>0</x:v>
      </x:c>
      <x:c r="O425" s="233" t="str">
        <x:v>DRAFT_ORDINAL_MAPPING</x:v>
      </x:c>
      <x:c r="P425" s="233" t="str">
        <x:v>VERIFIED</x:v>
      </x:c>
      <x:c r="Q425" s="235" t="str"/>
      <x:c r="R425" s="235" t="str"/>
      <x:c r="S425" s="233" t="str">
        <x:v>ILO_SCORE25</x:v>
      </x:c>
      <x:c r="T425" s="233" t="str">
        <x:v>WP140 online Annex, Table A1</x:v>
      </x:c>
      <x:c r="U425" s="235" t="str">
        <x:v>PENDING</x:v>
      </x:c>
      <x:c r="V425" s="235" t="str">
        <x:v>Codex</x:v>
      </x:c>
      <x:c r="W425" s="297" t="str">
        <x:v>KBJI–ISCO belum dipetakan; skor 0–5 adalah transformasi ordinal draft.</x:v>
      </x:c>
    </x:row>
    <x:row r="426">
      <x:c r="A426" s="293" t="str"/>
      <x:c r="B426" s="294" t="str"/>
      <x:c r="C426" s="235" t="str"/>
      <x:c r="D426" s="295" t="str">
        <x:v>9611</x:v>
      </x:c>
      <x:c r="E426" s="233" t="str">
        <x:v>Garbage and Recycling Collectors</x:v>
      </x:c>
      <x:c r="F426" s="233" t="str">
        <x:v>UNRESOLVED</x:v>
      </x:c>
      <x:c r="G426" s="233"/>
      <x:c r="H426" s="233" t="str"/>
      <x:c r="I426" s="233"/>
      <x:c r="J426" s="233" t="str">
        <x:v>PENDING</x:v>
      </x:c>
      <x:c r="K426" s="233" t="str">
        <x:v>Not Exposed</x:v>
      </x:c>
      <x:c r="L426" s="296" t="n">
        <x:v>0.09</x:v>
      </x:c>
      <x:c r="M426" s="296" t="n">
        <x:v>0.02</x:v>
      </x:c>
      <x:c r="N426" s="233" t="n">
        <x:v>0</x:v>
      </x:c>
      <x:c r="O426" s="233" t="str">
        <x:v>DRAFT_ORDINAL_MAPPING</x:v>
      </x:c>
      <x:c r="P426" s="233" t="str">
        <x:v>VERIFIED</x:v>
      </x:c>
      <x:c r="Q426" s="235" t="str"/>
      <x:c r="R426" s="235" t="str"/>
      <x:c r="S426" s="233" t="str">
        <x:v>ILO_SCORE25</x:v>
      </x:c>
      <x:c r="T426" s="233" t="str">
        <x:v>WP140 online Annex, Table A1</x:v>
      </x:c>
      <x:c r="U426" s="235" t="str">
        <x:v>PENDING</x:v>
      </x:c>
      <x:c r="V426" s="235" t="str">
        <x:v>Codex</x:v>
      </x:c>
      <x:c r="W426" s="297" t="str">
        <x:v>KBJI–ISCO belum dipetakan; skor 0–5 adalah transformasi ordinal draft.</x:v>
      </x:c>
    </x:row>
    <x:row r="427">
      <x:c r="A427" s="293" t="str"/>
      <x:c r="B427" s="294" t="str"/>
      <x:c r="C427" s="235" t="str"/>
      <x:c r="D427" s="295" t="str">
        <x:v>9613</x:v>
      </x:c>
      <x:c r="E427" s="233" t="str">
        <x:v>Sweepers and Related Labourers</x:v>
      </x:c>
      <x:c r="F427" s="233" t="str">
        <x:v>UNRESOLVED</x:v>
      </x:c>
      <x:c r="G427" s="233"/>
      <x:c r="H427" s="233" t="str"/>
      <x:c r="I427" s="233"/>
      <x:c r="J427" s="233" t="str">
        <x:v>PENDING</x:v>
      </x:c>
      <x:c r="K427" s="233" t="str">
        <x:v>Not Exposed</x:v>
      </x:c>
      <x:c r="L427" s="296" t="n">
        <x:v>0.09</x:v>
      </x:c>
      <x:c r="M427" s="296" t="n">
        <x:v>0.03</x:v>
      </x:c>
      <x:c r="N427" s="233" t="n">
        <x:v>0</x:v>
      </x:c>
      <x:c r="O427" s="233" t="str">
        <x:v>DRAFT_ORDINAL_MAPPING</x:v>
      </x:c>
      <x:c r="P427" s="233" t="str">
        <x:v>VERIFIED</x:v>
      </x:c>
      <x:c r="Q427" s="235" t="str"/>
      <x:c r="R427" s="235" t="str"/>
      <x:c r="S427" s="233" t="str">
        <x:v>ILO_SCORE25</x:v>
      </x:c>
      <x:c r="T427" s="233" t="str">
        <x:v>WP140 online Annex, Table A1</x:v>
      </x:c>
      <x:c r="U427" s="235" t="str">
        <x:v>PENDING</x:v>
      </x:c>
      <x:c r="V427" s="235" t="str">
        <x:v>Codex</x:v>
      </x:c>
      <x:c r="W427" s="297" t="str">
        <x:v>KBJI–ISCO belum dipetakan; skor 0–5 adalah transformasi ordinal draft.</x:v>
      </x:c>
    </x:row>
    <x:row r="428">
      <x:c r="A428" s="298" t="str"/>
      <x:c r="B428" s="299" t="str"/>
      <x:c r="C428" s="287" t="str"/>
      <x:c r="D428" s="300" t="str">
        <x:v>9624</x:v>
      </x:c>
      <x:c r="E428" s="286" t="str">
        <x:v>Water and Firewood Collectors</x:v>
      </x:c>
      <x:c r="F428" s="286" t="str">
        <x:v>UNRESOLVED</x:v>
      </x:c>
      <x:c r="G428" s="286"/>
      <x:c r="H428" s="286" t="str"/>
      <x:c r="I428" s="286"/>
      <x:c r="J428" s="286" t="str">
        <x:v>PENDING</x:v>
      </x:c>
      <x:c r="K428" s="286" t="str">
        <x:v>Not Exposed</x:v>
      </x:c>
      <x:c r="L428" s="301" t="n">
        <x:v>0.09</x:v>
      </x:c>
      <x:c r="M428" s="301" t="n">
        <x:v>0.03</x:v>
      </x:c>
      <x:c r="N428" s="286" t="n">
        <x:v>0</x:v>
      </x:c>
      <x:c r="O428" s="286" t="str">
        <x:v>DRAFT_ORDINAL_MAPPING</x:v>
      </x:c>
      <x:c r="P428" s="286" t="str">
        <x:v>VERIFIED</x:v>
      </x:c>
      <x:c r="Q428" s="287" t="str"/>
      <x:c r="R428" s="287" t="str"/>
      <x:c r="S428" s="286" t="str">
        <x:v>ILO_SCORE25</x:v>
      </x:c>
      <x:c r="T428" s="286" t="str">
        <x:v>WP140 online Annex, Table A1</x:v>
      </x:c>
      <x:c r="U428" s="287" t="str">
        <x:v>PENDING</x:v>
      </x:c>
      <x:c r="V428" s="287" t="str">
        <x:v>Codex</x:v>
      </x:c>
      <x:c r="W428" s="302" t="str">
        <x:v>KBJI–ISCO belum dipetakan; skor 0–5 adalah transformasi ordinal draft.</x:v>
      </x:c>
    </x:row>
  </x:sheetData>
  <x:conditionalFormatting sqref="J2:J428">
    <x:cfRule type="containsText" dxfId="25" priority="1" operator="containsText" text="BLOCKED"/>
    <x:cfRule type="containsText" dxfId="26" priority="2" operator="containsText" text="ERROR"/>
    <x:cfRule type="containsText" dxfId="27" priority="3" operator="containsText" text="READY"/>
    <x:cfRule type="containsText" dxfId="28" priority="4" operator="containsText" text="VERIFIED"/>
    <x:cfRule type="containsText" dxfId="29" priority="5" operator="containsText" text="PENDING"/>
  </x:conditionalFormatting>
  <x:conditionalFormatting sqref="O2:P428">
    <x:cfRule type="containsText" dxfId="30" priority="6" operator="containsText" text="BLOCKED"/>
    <x:cfRule type="containsText" dxfId="31" priority="7" operator="containsText" text="ERROR"/>
    <x:cfRule type="containsText" dxfId="32" priority="8" operator="containsText" text="READY"/>
    <x:cfRule type="containsText" dxfId="33" priority="9" operator="containsText" text="VERIFIED"/>
    <x:cfRule type="containsText" dxfId="34" priority="10" operator="containsText" text="PENDING"/>
  </x:conditionalFormatting>
  <x:conditionalFormatting sqref="U2:U428">
    <x:cfRule type="containsText" dxfId="35" priority="11" operator="containsText" text="BLOCKED"/>
    <x:cfRule type="containsText" dxfId="36" priority="12" operator="containsText" text="ERROR"/>
    <x:cfRule type="containsText" dxfId="37" priority="13" operator="containsText" text="READY"/>
    <x:cfRule type="containsText" dxfId="38" priority="14" operator="containsText" text="VERIFIED"/>
    <x:cfRule type="containsText" dxfId="39" priority="15" operator="containsText" text="PENDING"/>
  </x:conditionalFormatting>
  <x:dataValidations count="9">
    <x:dataValidation type="list" sqref="F2:F428">
      <x:formula1>"DIRECT,ONE_TO_MANY,MANUAL,UNRESOLVED"</x:formula1>
    </x:dataValidation>
    <x:dataValidation type="list" sqref="H2:H428">
      <x:formula1>"TINGGI,TIDAK_TINGGI,UNKNOWN"</x:formula1>
    </x:dataValidation>
    <x:dataValidation type="list" sqref="J2:J428">
      <x:formula1>"VERIFIED,PENDING,UNKNOWN,MISSING"</x:formula1>
    </x:dataValidation>
    <x:dataValidation type="list" sqref="O2:O428">
      <x:formula1>"LOCKED,DRAFT_ORDINAL_MAPPING,REJECTED"</x:formula1>
    </x:dataValidation>
    <x:dataValidation type="list" sqref="P2:P428">
      <x:formula1>"VERIFIED,PENDING,UNKNOWN,MISSING"</x:formula1>
    </x:dataValidation>
    <x:dataValidation type="list" sqref="U2:U428">
      <x:formula1>"VERIFIED,PENDING,UNKNOWN,MISSING"</x:formula1>
    </x:dataValidation>
    <x:dataValidation type="decimal" operator="between" sqref="G2:G428">
      <x:formula1>0</x:formula1>
      <x:formula2>1</x:formula2>
    </x:dataValidation>
    <x:dataValidation type="whole" operator="between" sqref="I2:I428">
      <x:formula1>0</x:formula1>
      <x:formula2>1</x:formula2>
    </x:dataValidation>
    <x:dataValidation type="whole" operator="between" sqref="N2:N428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ffe1d669ee744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24" hidden="0" customWidth="1"/>
    <x:col min="10" max="10" width="13" hidden="0" customWidth="1"/>
    <x:col min="11" max="11" width="19" hidden="0" customWidth="1"/>
    <x:col min="12" max="12" width="21" hidden="0" customWidth="1"/>
    <x:col min="13" max="13" width="18" hidden="0" customWidth="1"/>
    <x:col min="14" max="14" width="18" hidden="0" customWidth="1"/>
    <x:col min="15" max="15" width="45" hidden="0" customWidth="1"/>
  </x:cols>
  <x:sheetData>
    <x:row r="1" ht="34" customHeight="1">
      <x:c r="A1" s="220" t="str">
        <x:v>row_id</x:v>
      </x:c>
      <x:c r="B1" s="221" t="str">
        <x:v>source_id</x:v>
      </x:c>
      <x:c r="C1" s="221" t="str">
        <x:v>release_id</x:v>
      </x:c>
      <x:c r="D1" s="221" t="str">
        <x:v>wave</x:v>
      </x:c>
      <x:c r="E1" s="221" t="str">
        <x:v>tier</x:v>
      </x:c>
      <x:c r="F1" s="221" t="str">
        <x:v>sector_id</x:v>
      </x:c>
      <x:c r="G1" s="221" t="str">
        <x:v>kbli_code</x:v>
      </x:c>
      <x:c r="H1" s="221" t="str">
        <x:v>kbji_code</x:v>
      </x:c>
      <x:c r="I1" s="221" t="str">
        <x:v>education_band</x:v>
      </x:c>
      <x:c r="J1" s="221" t="str">
        <x:v>is_le_sma</x:v>
      </x:c>
      <x:c r="K1" s="221" t="str">
        <x:v>weighted_workers</x:v>
      </x:c>
      <x:c r="L1" s="221" t="str">
        <x:v>sector_weighted_total</x:v>
      </x:c>
      <x:c r="M1" s="221" t="str">
        <x:v>occupation_share</x:v>
      </x:c>
      <x:c r="N1" s="221" t="str">
        <x:v>record_status</x:v>
      </x:c>
      <x:c r="O1" s="222" t="str">
        <x:v>notes</x:v>
      </x:c>
    </x:row>
    <x:row r="2">
      <x:c r="A2" s="288" t="str">
        <x:v>BPS69_001</x:v>
      </x:c>
      <x:c r="B2" s="285" t="str">
        <x:v>BPS_SAK25_PUB</x:v>
      </x:c>
      <x:c r="C2" s="285" t="str">
        <x:v>Sakernas_Aug2025_Table69</x:v>
      </x:c>
      <x:c r="D2" s="285" t="str">
        <x:v>2025-08</x:v>
      </x:c>
      <x:c r="E2" s="285" t="str">
        <x:v>Tier B</x:v>
      </x:c>
      <x:c r="F2" s="285" t="str">
        <x:v>B1</x:v>
      </x:c>
      <x:c r="G2" s="289" t="str">
        <x:v>C</x:v>
      </x:c>
      <x:c r="H2" s="289" t="str"/>
      <x:c r="I2" s="285" t="str">
        <x:v>SD ke bawah</x:v>
      </x:c>
      <x:c r="J2" s="285" t="n">
        <x:v>1</x:v>
      </x:c>
      <x:c r="K2" s="303" t="n">
        <x:v>5762366</x:v>
      </x:c>
      <x:c r="L2" s="304" t="n">
        <x:f>IF(OR(E2="",F2="",K2=""),"",SUMIFS($K$2:$K$301,$E$2:$E$301,E2,$F$2:$F$301,F2))</x:f>
        <x:v>20308685</x:v>
      </x:c>
      <x:c r="M2" s="305" t="n">
        <x:f>IFERROR(K2/L2,"")</x:f>
        <x:v>0.28373900131889385</x:v>
      </x:c>
      <x:c r="N2" s="285" t="str">
        <x:v>VERIFIED</x:v>
      </x:c>
      <x:c r="O2" s="292" t="str">
        <x:v>Tabel 69 halaman buku 103–104; angka tertimbang publik.</x:v>
      </x:c>
    </x:row>
    <x:row r="3">
      <x:c r="A3" s="293" t="str">
        <x:v>BPS69_002</x:v>
      </x:c>
      <x:c r="B3" s="235" t="str">
        <x:v>BPS_SAK25_PUB</x:v>
      </x:c>
      <x:c r="C3" s="235" t="str">
        <x:v>Sakernas_Aug2025_Table69</x:v>
      </x:c>
      <x:c r="D3" s="235" t="str">
        <x:v>2025-08</x:v>
      </x:c>
      <x:c r="E3" s="235" t="str">
        <x:v>Tier B</x:v>
      </x:c>
      <x:c r="F3" s="235" t="str">
        <x:v>B1</x:v>
      </x:c>
      <x:c r="G3" s="294" t="str">
        <x:v>C</x:v>
      </x:c>
      <x:c r="H3" s="294" t="str"/>
      <x:c r="I3" s="235" t="str">
        <x:v>SMP</x:v>
      </x:c>
      <x:c r="J3" s="235" t="n">
        <x:v>1</x:v>
      </x:c>
      <x:c r="K3" s="306" t="n">
        <x:v>4016707</x:v>
      </x:c>
      <x:c r="L3" s="307" t="n">
        <x:f>IF(OR(E3="",F3="",K3=""),"",SUMIFS($K$2:$K$301,$E$2:$E$301,E3,$F$2:$F$301,F3))</x:f>
        <x:v>20308685</x:v>
      </x:c>
      <x:c r="M3" s="308" t="n">
        <x:f>IFERROR(K3/L3,"")</x:f>
        <x:v>0.19778272202262234</x:v>
      </x:c>
      <x:c r="N3" s="235" t="str">
        <x:v>VERIFIED</x:v>
      </x:c>
      <x:c r="O3" s="297" t="str">
        <x:v>Tabel 69 halaman buku 103–104; angka tertimbang publik.</x:v>
      </x:c>
    </x:row>
    <x:row r="4">
      <x:c r="A4" s="293" t="str">
        <x:v>BPS69_003</x:v>
      </x:c>
      <x:c r="B4" s="235" t="str">
        <x:v>BPS_SAK25_PUB</x:v>
      </x:c>
      <x:c r="C4" s="235" t="str">
        <x:v>Sakernas_Aug2025_Table69</x:v>
      </x:c>
      <x:c r="D4" s="235" t="str">
        <x:v>2025-08</x:v>
      </x:c>
      <x:c r="E4" s="235" t="str">
        <x:v>Tier B</x:v>
      </x:c>
      <x:c r="F4" s="235" t="str">
        <x:v>B1</x:v>
      </x:c>
      <x:c r="G4" s="294" t="str">
        <x:v>C</x:v>
      </x:c>
      <x:c r="H4" s="294" t="str"/>
      <x:c r="I4" s="235" t="str">
        <x:v>SMA</x:v>
      </x:c>
      <x:c r="J4" s="235" t="n">
        <x:v>1</x:v>
      </x:c>
      <x:c r="K4" s="306" t="n">
        <x:v>4666247</x:v>
      </x:c>
      <x:c r="L4" s="307" t="n">
        <x:f>IF(OR(E4="",F4="",K4=""),"",SUMIFS($K$2:$K$301,$E$2:$E$301,E4,$F$2:$F$301,F4))</x:f>
        <x:v>20308685</x:v>
      </x:c>
      <x:c r="M4" s="308" t="n">
        <x:f>IFERROR(K4/L4,"")</x:f>
        <x:v>0.22976608283598865</x:v>
      </x:c>
      <x:c r="N4" s="235" t="str">
        <x:v>VERIFIED</x:v>
      </x:c>
      <x:c r="O4" s="297" t="str">
        <x:v>Tabel 69 halaman buku 103–104; angka tertimbang publik.</x:v>
      </x:c>
    </x:row>
    <x:row r="5">
      <x:c r="A5" s="293" t="str">
        <x:v>BPS69_004</x:v>
      </x:c>
      <x:c r="B5" s="235" t="str">
        <x:v>BPS_SAK25_PUB</x:v>
      </x:c>
      <x:c r="C5" s="235" t="str">
        <x:v>Sakernas_Aug2025_Table69</x:v>
      </x:c>
      <x:c r="D5" s="235" t="str">
        <x:v>2025-08</x:v>
      </x:c>
      <x:c r="E5" s="235" t="str">
        <x:v>Tier B</x:v>
      </x:c>
      <x:c r="F5" s="235" t="str">
        <x:v>B1</x:v>
      </x:c>
      <x:c r="G5" s="294" t="str">
        <x:v>C</x:v>
      </x:c>
      <x:c r="H5" s="294" t="str"/>
      <x:c r="I5" s="235" t="str">
        <x:v>SMK</x:v>
      </x:c>
      <x:c r="J5" s="235" t="n">
        <x:v>1</x:v>
      </x:c>
      <x:c r="K5" s="306" t="n">
        <x:v>4535802</x:v>
      </x:c>
      <x:c r="L5" s="307" t="n">
        <x:f>IF(OR(E5="",F5="",K5=""),"",SUMIFS($K$2:$K$301,$E$2:$E$301,E5,$F$2:$F$301,F5))</x:f>
        <x:v>20308685</x:v>
      </x:c>
      <x:c r="M5" s="308" t="n">
        <x:f>IFERROR(K5/L5,"")</x:f>
        <x:v>0.22334296878404486</x:v>
      </x:c>
      <x:c r="N5" s="235" t="str">
        <x:v>VERIFIED</x:v>
      </x:c>
      <x:c r="O5" s="297" t="str">
        <x:v>Tabel 69 halaman buku 103–104; angka tertimbang publik.</x:v>
      </x:c>
    </x:row>
    <x:row r="6">
      <x:c r="A6" s="293" t="str">
        <x:v>BPS69_005</x:v>
      </x:c>
      <x:c r="B6" s="235" t="str">
        <x:v>BPS_SAK25_PUB</x:v>
      </x:c>
      <x:c r="C6" s="235" t="str">
        <x:v>Sakernas_Aug2025_Table69</x:v>
      </x:c>
      <x:c r="D6" s="235" t="str">
        <x:v>2025-08</x:v>
      </x:c>
      <x:c r="E6" s="235" t="str">
        <x:v>Tier B</x:v>
      </x:c>
      <x:c r="F6" s="235" t="str">
        <x:v>B1</x:v>
      </x:c>
      <x:c r="G6" s="294" t="str">
        <x:v>C</x:v>
      </x:c>
      <x:c r="H6" s="294" t="str"/>
      <x:c r="I6" s="235" t="str">
        <x:v>Diploma I/II/III</x:v>
      </x:c>
      <x:c r="J6" s="235" t="n">
        <x:v>0</x:v>
      </x:c>
      <x:c r="K6" s="306" t="n">
        <x:v>346855</x:v>
      </x:c>
      <x:c r="L6" s="307" t="n">
        <x:f>IF(OR(E6="",F6="",K6=""),"",SUMIFS($K$2:$K$301,$E$2:$E$301,E6,$F$2:$F$301,F6))</x:f>
        <x:v>20308685</x:v>
      </x:c>
      <x:c r="M6" s="308" t="n">
        <x:f>IFERROR(K6/L6,"")</x:f>
        <x:v>0.017079146187948653</x:v>
      </x:c>
      <x:c r="N6" s="235" t="str">
        <x:v>VERIFIED</x:v>
      </x:c>
      <x:c r="O6" s="297" t="str">
        <x:v>Tabel 69 halaman buku 103–104; angka tertimbang publik.</x:v>
      </x:c>
    </x:row>
    <x:row r="7">
      <x:c r="A7" s="293" t="str">
        <x:v>BPS69_006</x:v>
      </x:c>
      <x:c r="B7" s="235" t="str">
        <x:v>BPS_SAK25_PUB</x:v>
      </x:c>
      <x:c r="C7" s="235" t="str">
        <x:v>Sakernas_Aug2025_Table69</x:v>
      </x:c>
      <x:c r="D7" s="235" t="str">
        <x:v>2025-08</x:v>
      </x:c>
      <x:c r="E7" s="235" t="str">
        <x:v>Tier B</x:v>
      </x:c>
      <x:c r="F7" s="235" t="str">
        <x:v>B1</x:v>
      </x:c>
      <x:c r="G7" s="294" t="str">
        <x:v>C</x:v>
      </x:c>
      <x:c r="H7" s="294" t="str"/>
      <x:c r="I7" s="235" t="str">
        <x:v>Diploma IV/S1/S2/S3</x:v>
      </x:c>
      <x:c r="J7" s="235" t="n">
        <x:v>0</x:v>
      </x:c>
      <x:c r="K7" s="306" t="n">
        <x:v>980708</x:v>
      </x:c>
      <x:c r="L7" s="307" t="n">
        <x:f>IF(OR(E7="",F7="",K7=""),"",SUMIFS($K$2:$K$301,$E$2:$E$301,E7,$F$2:$F$301,F7))</x:f>
        <x:v>20308685</x:v>
      </x:c>
      <x:c r="M7" s="308" t="n">
        <x:f>IFERROR(K7/L7,"")</x:f>
        <x:v>0.04829007885050165</x:v>
      </x:c>
      <x:c r="N7" s="235" t="str">
        <x:v>VERIFIED</x:v>
      </x:c>
      <x:c r="O7" s="297" t="str">
        <x:v>Tabel 69 halaman buku 103–104; angka tertimbang publik.</x:v>
      </x:c>
    </x:row>
    <x:row r="8">
      <x:c r="A8" s="293" t="str">
        <x:v>BPS69_007</x:v>
      </x:c>
      <x:c r="B8" s="235" t="str">
        <x:v>BPS_SAK25_PUB</x:v>
      </x:c>
      <x:c r="C8" s="235" t="str">
        <x:v>Sakernas_Aug2025_Table69</x:v>
      </x:c>
      <x:c r="D8" s="235" t="str">
        <x:v>2025-08</x:v>
      </x:c>
      <x:c r="E8" s="235" t="str">
        <x:v>Tier B</x:v>
      </x:c>
      <x:c r="F8" s="235" t="str">
        <x:v>B2</x:v>
      </x:c>
      <x:c r="G8" s="294" t="str">
        <x:v>A</x:v>
      </x:c>
      <x:c r="H8" s="294" t="str"/>
      <x:c r="I8" s="235" t="str">
        <x:v>SD ke bawah</x:v>
      </x:c>
      <x:c r="J8" s="235" t="n">
        <x:v>1</x:v>
      </x:c>
      <x:c r="K8" s="306" t="n">
        <x:v>25170764</x:v>
      </x:c>
      <x:c r="L8" s="307" t="n">
        <x:f>IF(OR(E8="",F8="",K8=""),"",SUMIFS($K$2:$K$301,$E$2:$E$301,E8,$F$2:$F$301,F8))</x:f>
        <x:v>41247117</x:v>
      </x:c>
      <x:c r="M8" s="308" t="n">
        <x:f>IFERROR(K8/L8,"")</x:f>
        <x:v>0.610242989831265</x:v>
      </x:c>
      <x:c r="N8" s="235" t="str">
        <x:v>VERIFIED</x:v>
      </x:c>
      <x:c r="O8" s="297" t="str">
        <x:v>Tabel 69 halaman buku 103–104; angka tertimbang publik.</x:v>
      </x:c>
    </x:row>
    <x:row r="9">
      <x:c r="A9" s="293" t="str">
        <x:v>BPS69_008</x:v>
      </x:c>
      <x:c r="B9" s="235" t="str">
        <x:v>BPS_SAK25_PUB</x:v>
      </x:c>
      <x:c r="C9" s="235" t="str">
        <x:v>Sakernas_Aug2025_Table69</x:v>
      </x:c>
      <x:c r="D9" s="235" t="str">
        <x:v>2025-08</x:v>
      </x:c>
      <x:c r="E9" s="235" t="str">
        <x:v>Tier B</x:v>
      </x:c>
      <x:c r="F9" s="235" t="str">
        <x:v>B2</x:v>
      </x:c>
      <x:c r="G9" s="294" t="str">
        <x:v>A</x:v>
      </x:c>
      <x:c r="H9" s="294" t="str"/>
      <x:c r="I9" s="235" t="str">
        <x:v>SMP</x:v>
      </x:c>
      <x:c r="J9" s="235" t="n">
        <x:v>1</x:v>
      </x:c>
      <x:c r="K9" s="306" t="n">
        <x:v>7283567</x:v>
      </x:c>
      <x:c r="L9" s="307" t="n">
        <x:f>IF(OR(E9="",F9="",K9=""),"",SUMIFS($K$2:$K$301,$E$2:$E$301,E9,$F$2:$F$301,F9))</x:f>
        <x:v>41247117</x:v>
      </x:c>
      <x:c r="M9" s="308" t="n">
        <x:f>IFERROR(K9/L9,"")</x:f>
        <x:v>0.17658366280484525</x:v>
      </x:c>
      <x:c r="N9" s="235" t="str">
        <x:v>VERIFIED</x:v>
      </x:c>
      <x:c r="O9" s="297" t="str">
        <x:v>Tabel 69 halaman buku 103–104; angka tertimbang publik.</x:v>
      </x:c>
    </x:row>
    <x:row r="10">
      <x:c r="A10" s="293" t="str">
        <x:v>BPS69_009</x:v>
      </x:c>
      <x:c r="B10" s="235" t="str">
        <x:v>BPS_SAK25_PUB</x:v>
      </x:c>
      <x:c r="C10" s="235" t="str">
        <x:v>Sakernas_Aug2025_Table69</x:v>
      </x:c>
      <x:c r="D10" s="235" t="str">
        <x:v>2025-08</x:v>
      </x:c>
      <x:c r="E10" s="235" t="str">
        <x:v>Tier B</x:v>
      </x:c>
      <x:c r="F10" s="235" t="str">
        <x:v>B2</x:v>
      </x:c>
      <x:c r="G10" s="294" t="str">
        <x:v>A</x:v>
      </x:c>
      <x:c r="H10" s="294" t="str"/>
      <x:c r="I10" s="235" t="str">
        <x:v>SMA</x:v>
      </x:c>
      <x:c r="J10" s="235" t="n">
        <x:v>1</x:v>
      </x:c>
      <x:c r="K10" s="306" t="n">
        <x:v>5742095</x:v>
      </x:c>
      <x:c r="L10" s="307" t="n">
        <x:f>IF(OR(E10="",F10="",K10=""),"",SUMIFS($K$2:$K$301,$E$2:$E$301,E10,$F$2:$F$301,F10))</x:f>
        <x:v>41247117</x:v>
      </x:c>
      <x:c r="M10" s="308" t="n">
        <x:f>IFERROR(K10/L10,"")</x:f>
        <x:v>0.13921203268582383</x:v>
      </x:c>
      <x:c r="N10" s="235" t="str">
        <x:v>VERIFIED</x:v>
      </x:c>
      <x:c r="O10" s="297" t="str">
        <x:v>Tabel 69 halaman buku 103–104; angka tertimbang publik.</x:v>
      </x:c>
    </x:row>
    <x:row r="11">
      <x:c r="A11" s="293" t="str">
        <x:v>BPS69_010</x:v>
      </x:c>
      <x:c r="B11" s="235" t="str">
        <x:v>BPS_SAK25_PUB</x:v>
      </x:c>
      <x:c r="C11" s="235" t="str">
        <x:v>Sakernas_Aug2025_Table69</x:v>
      </x:c>
      <x:c r="D11" s="235" t="str">
        <x:v>2025-08</x:v>
      </x:c>
      <x:c r="E11" s="235" t="str">
        <x:v>Tier B</x:v>
      </x:c>
      <x:c r="F11" s="235" t="str">
        <x:v>B2</x:v>
      </x:c>
      <x:c r="G11" s="294" t="str">
        <x:v>A</x:v>
      </x:c>
      <x:c r="H11" s="294" t="str"/>
      <x:c r="I11" s="235" t="str">
        <x:v>SMK</x:v>
      </x:c>
      <x:c r="J11" s="235" t="n">
        <x:v>1</x:v>
      </x:c>
      <x:c r="K11" s="306" t="n">
        <x:v>2163886</x:v>
      </x:c>
      <x:c r="L11" s="307" t="n">
        <x:f>IF(OR(E11="",F11="",K11=""),"",SUMIFS($K$2:$K$301,$E$2:$E$301,E11,$F$2:$F$301,F11))</x:f>
        <x:v>41247117</x:v>
      </x:c>
      <x:c r="M11" s="308" t="n">
        <x:f>IFERROR(K11/L11,"")</x:f>
        <x:v>0.05246150900679919</x:v>
      </x:c>
      <x:c r="N11" s="235" t="str">
        <x:v>VERIFIED</x:v>
      </x:c>
      <x:c r="O11" s="297" t="str">
        <x:v>Tabel 69 halaman buku 103–104; angka tertimbang publik.</x:v>
      </x:c>
    </x:row>
    <x:row r="12">
      <x:c r="A12" s="293" t="str">
        <x:v>BPS69_011</x:v>
      </x:c>
      <x:c r="B12" s="235" t="str">
        <x:v>BPS_SAK25_PUB</x:v>
      </x:c>
      <x:c r="C12" s="235" t="str">
        <x:v>Sakernas_Aug2025_Table69</x:v>
      </x:c>
      <x:c r="D12" s="235" t="str">
        <x:v>2025-08</x:v>
      </x:c>
      <x:c r="E12" s="235" t="str">
        <x:v>Tier B</x:v>
      </x:c>
      <x:c r="F12" s="235" t="str">
        <x:v>B2</x:v>
      </x:c>
      <x:c r="G12" s="294" t="str">
        <x:v>A</x:v>
      </x:c>
      <x:c r="H12" s="294" t="str"/>
      <x:c r="I12" s="235" t="str">
        <x:v>Diploma I/II/III</x:v>
      </x:c>
      <x:c r="J12" s="235" t="n">
        <x:v>0</x:v>
      </x:c>
      <x:c r="K12" s="306" t="n">
        <x:v>198343</x:v>
      </x:c>
      <x:c r="L12" s="307" t="n">
        <x:f>IF(OR(E12="",F12="",K12=""),"",SUMIFS($K$2:$K$301,$E$2:$E$301,E12,$F$2:$F$301,F12))</x:f>
        <x:v>41247117</x:v>
      </x:c>
      <x:c r="M12" s="308" t="n">
        <x:f>IFERROR(K12/L12,"")</x:f>
        <x:v>0.004808651232521294</x:v>
      </x:c>
      <x:c r="N12" s="235" t="str">
        <x:v>VERIFIED</x:v>
      </x:c>
      <x:c r="O12" s="297" t="str">
        <x:v>Tabel 69 halaman buku 103–104; angka tertimbang publik.</x:v>
      </x:c>
    </x:row>
    <x:row r="13">
      <x:c r="A13" s="293" t="str">
        <x:v>BPS69_012</x:v>
      </x:c>
      <x:c r="B13" s="235" t="str">
        <x:v>BPS_SAK25_PUB</x:v>
      </x:c>
      <x:c r="C13" s="235" t="str">
        <x:v>Sakernas_Aug2025_Table69</x:v>
      </x:c>
      <x:c r="D13" s="235" t="str">
        <x:v>2025-08</x:v>
      </x:c>
      <x:c r="E13" s="235" t="str">
        <x:v>Tier B</x:v>
      </x:c>
      <x:c r="F13" s="235" t="str">
        <x:v>B2</x:v>
      </x:c>
      <x:c r="G13" s="294" t="str">
        <x:v>A</x:v>
      </x:c>
      <x:c r="H13" s="294" t="str"/>
      <x:c r="I13" s="235" t="str">
        <x:v>Diploma IV/S1/S2/S3</x:v>
      </x:c>
      <x:c r="J13" s="235" t="n">
        <x:v>0</x:v>
      </x:c>
      <x:c r="K13" s="306" t="n">
        <x:v>688462</x:v>
      </x:c>
      <x:c r="L13" s="307" t="n">
        <x:f>IF(OR(E13="",F13="",K13=""),"",SUMIFS($K$2:$K$301,$E$2:$E$301,E13,$F$2:$F$301,F13))</x:f>
        <x:v>41247117</x:v>
      </x:c>
      <x:c r="M13" s="308" t="n">
        <x:f>IFERROR(K13/L13,"")</x:f>
        <x:v>0.01669115443874538</x:v>
      </x:c>
      <x:c r="N13" s="235" t="str">
        <x:v>VERIFIED</x:v>
      </x:c>
      <x:c r="O13" s="297" t="str">
        <x:v>Tabel 69 halaman buku 103–104; angka tertimbang publik.</x:v>
      </x:c>
    </x:row>
    <x:row r="14">
      <x:c r="A14" s="293" t="str">
        <x:v>BPS69_013</x:v>
      </x:c>
      <x:c r="B14" s="235" t="str">
        <x:v>BPS_SAK25_PUB</x:v>
      </x:c>
      <x:c r="C14" s="235" t="str">
        <x:v>Sakernas_Aug2025_Table69</x:v>
      </x:c>
      <x:c r="D14" s="235" t="str">
        <x:v>2025-08</x:v>
      </x:c>
      <x:c r="E14" s="235" t="str">
        <x:v>Tier B</x:v>
      </x:c>
      <x:c r="F14" s="235" t="str">
        <x:v>B3</x:v>
      </x:c>
      <x:c r="G14" s="294" t="str">
        <x:v>G</x:v>
      </x:c>
      <x:c r="H14" s="294" t="str"/>
      <x:c r="I14" s="235" t="str">
        <x:v>SD ke bawah</x:v>
      </x:c>
      <x:c r="J14" s="235" t="n">
        <x:v>1</x:v>
      </x:c>
      <x:c r="K14" s="306" t="n">
        <x:v>7257798</x:v>
      </x:c>
      <x:c r="L14" s="307" t="n">
        <x:f>IF(OR(E14="",F14="",K14=""),"",SUMIFS($K$2:$K$301,$E$2:$E$301,E14,$F$2:$F$301,F14))</x:f>
        <x:v>27452952</x:v>
      </x:c>
      <x:c r="M14" s="308" t="n">
        <x:f>IFERROR(K14/L14,"")</x:f>
        <x:v>0.2643722248886021</x:v>
      </x:c>
      <x:c r="N14" s="235" t="str">
        <x:v>VERIFIED</x:v>
      </x:c>
      <x:c r="O14" s="297" t="str">
        <x:v>Tabel 69 halaman buku 103–104; angka tertimbang publik.</x:v>
      </x:c>
    </x:row>
    <x:row r="15">
      <x:c r="A15" s="293" t="str">
        <x:v>BPS69_014</x:v>
      </x:c>
      <x:c r="B15" s="235" t="str">
        <x:v>BPS_SAK25_PUB</x:v>
      </x:c>
      <x:c r="C15" s="235" t="str">
        <x:v>Sakernas_Aug2025_Table69</x:v>
      </x:c>
      <x:c r="D15" s="235" t="str">
        <x:v>2025-08</x:v>
      </x:c>
      <x:c r="E15" s="235" t="str">
        <x:v>Tier B</x:v>
      </x:c>
      <x:c r="F15" s="235" t="str">
        <x:v>B3</x:v>
      </x:c>
      <x:c r="G15" s="294" t="str">
        <x:v>G</x:v>
      </x:c>
      <x:c r="H15" s="294" t="str"/>
      <x:c r="I15" s="235" t="str">
        <x:v>SMP</x:v>
      </x:c>
      <x:c r="J15" s="235" t="n">
        <x:v>1</x:v>
      </x:c>
      <x:c r="K15" s="306" t="n">
        <x:v>5124325</x:v>
      </x:c>
      <x:c r="L15" s="307" t="n">
        <x:f>IF(OR(E15="",F15="",K15=""),"",SUMIFS($K$2:$K$301,$E$2:$E$301,E15,$F$2:$F$301,F15))</x:f>
        <x:v>27452952</x:v>
      </x:c>
      <x:c r="M15" s="308" t="n">
        <x:f>IFERROR(K15/L15,"")</x:f>
        <x:v>0.18665843294375045</x:v>
      </x:c>
      <x:c r="N15" s="235" t="str">
        <x:v>VERIFIED</x:v>
      </x:c>
      <x:c r="O15" s="297" t="str">
        <x:v>Tabel 69 halaman buku 103–104; angka tertimbang publik.</x:v>
      </x:c>
    </x:row>
    <x:row r="16">
      <x:c r="A16" s="293" t="str">
        <x:v>BPS69_015</x:v>
      </x:c>
      <x:c r="B16" s="235" t="str">
        <x:v>BPS_SAK25_PUB</x:v>
      </x:c>
      <x:c r="C16" s="235" t="str">
        <x:v>Sakernas_Aug2025_Table69</x:v>
      </x:c>
      <x:c r="D16" s="235" t="str">
        <x:v>2025-08</x:v>
      </x:c>
      <x:c r="E16" s="235" t="str">
        <x:v>Tier B</x:v>
      </x:c>
      <x:c r="F16" s="235" t="str">
        <x:v>B3</x:v>
      </x:c>
      <x:c r="G16" s="294" t="str">
        <x:v>G</x:v>
      </x:c>
      <x:c r="H16" s="294" t="str"/>
      <x:c r="I16" s="235" t="str">
        <x:v>SMA</x:v>
      </x:c>
      <x:c r="J16" s="235" t="n">
        <x:v>1</x:v>
      </x:c>
      <x:c r="K16" s="306" t="n">
        <x:v>7306935</x:v>
      </x:c>
      <x:c r="L16" s="307" t="n">
        <x:f>IF(OR(E16="",F16="",K16=""),"",SUMIFS($K$2:$K$301,$E$2:$E$301,E16,$F$2:$F$301,F16))</x:f>
        <x:v>27452952</x:v>
      </x:c>
      <x:c r="M16" s="308" t="n">
        <x:f>IFERROR(K16/L16,"")</x:f>
        <x:v>0.26616208704987354</x:v>
      </x:c>
      <x:c r="N16" s="235" t="str">
        <x:v>VERIFIED</x:v>
      </x:c>
      <x:c r="O16" s="297" t="str">
        <x:v>Tabel 69 halaman buku 103–104; angka tertimbang publik.</x:v>
      </x:c>
    </x:row>
    <x:row r="17">
      <x:c r="A17" s="293" t="str">
        <x:v>BPS69_016</x:v>
      </x:c>
      <x:c r="B17" s="235" t="str">
        <x:v>BPS_SAK25_PUB</x:v>
      </x:c>
      <x:c r="C17" s="235" t="str">
        <x:v>Sakernas_Aug2025_Table69</x:v>
      </x:c>
      <x:c r="D17" s="235" t="str">
        <x:v>2025-08</x:v>
      </x:c>
      <x:c r="E17" s="235" t="str">
        <x:v>Tier B</x:v>
      </x:c>
      <x:c r="F17" s="235" t="str">
        <x:v>B3</x:v>
      </x:c>
      <x:c r="G17" s="294" t="str">
        <x:v>G</x:v>
      </x:c>
      <x:c r="H17" s="294" t="str"/>
      <x:c r="I17" s="235" t="str">
        <x:v>SMK</x:v>
      </x:c>
      <x:c r="J17" s="235" t="n">
        <x:v>1</x:v>
      </x:c>
      <x:c r="K17" s="306" t="n">
        <x:v>5234097</x:v>
      </x:c>
      <x:c r="L17" s="307" t="n">
        <x:f>IF(OR(E17="",F17="",K17=""),"",SUMIFS($K$2:$K$301,$E$2:$E$301,E17,$F$2:$F$301,F17))</x:f>
        <x:v>27452952</x:v>
      </x:c>
      <x:c r="M17" s="308" t="n">
        <x:f>IFERROR(K17/L17,"")</x:f>
        <x:v>0.19065698289932537</x:v>
      </x:c>
      <x:c r="N17" s="235" t="str">
        <x:v>VERIFIED</x:v>
      </x:c>
      <x:c r="O17" s="297" t="str">
        <x:v>Tabel 69 halaman buku 103–104; angka tertimbang publik.</x:v>
      </x:c>
    </x:row>
    <x:row r="18">
      <x:c r="A18" s="293" t="str">
        <x:v>BPS69_017</x:v>
      </x:c>
      <x:c r="B18" s="235" t="str">
        <x:v>BPS_SAK25_PUB</x:v>
      </x:c>
      <x:c r="C18" s="235" t="str">
        <x:v>Sakernas_Aug2025_Table69</x:v>
      </x:c>
      <x:c r="D18" s="235" t="str">
        <x:v>2025-08</x:v>
      </x:c>
      <x:c r="E18" s="235" t="str">
        <x:v>Tier B</x:v>
      </x:c>
      <x:c r="F18" s="235" t="str">
        <x:v>B3</x:v>
      </x:c>
      <x:c r="G18" s="294" t="str">
        <x:v>G</x:v>
      </x:c>
      <x:c r="H18" s="294" t="str"/>
      <x:c r="I18" s="235" t="str">
        <x:v>Diploma I/II/III</x:v>
      </x:c>
      <x:c r="J18" s="235" t="n">
        <x:v>0</x:v>
      </x:c>
      <x:c r="K18" s="306" t="n">
        <x:v>557595</x:v>
      </x:c>
      <x:c r="L18" s="307" t="n">
        <x:f>IF(OR(E18="",F18="",K18=""),"",SUMIFS($K$2:$K$301,$E$2:$E$301,E18,$F$2:$F$301,F18))</x:f>
        <x:v>27452952</x:v>
      </x:c>
      <x:c r="M18" s="308" t="n">
        <x:f>IFERROR(K18/L18,"")</x:f>
        <x:v>0.020310930496654785</x:v>
      </x:c>
      <x:c r="N18" s="235" t="str">
        <x:v>VERIFIED</x:v>
      </x:c>
      <x:c r="O18" s="297" t="str">
        <x:v>Tabel 69 halaman buku 103–104; angka tertimbang publik.</x:v>
      </x:c>
    </x:row>
    <x:row r="19">
      <x:c r="A19" s="293" t="str">
        <x:v>BPS69_018</x:v>
      </x:c>
      <x:c r="B19" s="235" t="str">
        <x:v>BPS_SAK25_PUB</x:v>
      </x:c>
      <x:c r="C19" s="235" t="str">
        <x:v>Sakernas_Aug2025_Table69</x:v>
      </x:c>
      <x:c r="D19" s="235" t="str">
        <x:v>2025-08</x:v>
      </x:c>
      <x:c r="E19" s="235" t="str">
        <x:v>Tier B</x:v>
      </x:c>
      <x:c r="F19" s="235" t="str">
        <x:v>B3</x:v>
      </x:c>
      <x:c r="G19" s="294" t="str">
        <x:v>G</x:v>
      </x:c>
      <x:c r="H19" s="294" t="str"/>
      <x:c r="I19" s="235" t="str">
        <x:v>Diploma IV/S1/S2/S3</x:v>
      </x:c>
      <x:c r="J19" s="235" t="n">
        <x:v>0</x:v>
      </x:c>
      <x:c r="K19" s="306" t="n">
        <x:v>1972202</x:v>
      </x:c>
      <x:c r="L19" s="307" t="n">
        <x:f>IF(OR(E19="",F19="",K19=""),"",SUMIFS($K$2:$K$301,$E$2:$E$301,E19,$F$2:$F$301,F19))</x:f>
        <x:v>27452952</x:v>
      </x:c>
      <x:c r="M19" s="308" t="n">
        <x:f>IFERROR(K19/L19,"")</x:f>
        <x:v>0.07183934172179371</x:v>
      </x:c>
      <x:c r="N19" s="235" t="str">
        <x:v>VERIFIED</x:v>
      </x:c>
      <x:c r="O19" s="297" t="str">
        <x:v>Tabel 69 halaman buku 103–104; angka tertimbang publik.</x:v>
      </x:c>
    </x:row>
    <x:row r="20">
      <x:c r="A20" s="293" t="str">
        <x:v>BPS69_019</x:v>
      </x:c>
      <x:c r="B20" s="235" t="str">
        <x:v>BPS_SAK25_PUB</x:v>
      </x:c>
      <x:c r="C20" s="235" t="str">
        <x:v>Sakernas_Aug2025_Table69</x:v>
      </x:c>
      <x:c r="D20" s="235" t="str">
        <x:v>2025-08</x:v>
      </x:c>
      <x:c r="E20" s="235" t="str">
        <x:v>Tier B</x:v>
      </x:c>
      <x:c r="F20" s="235" t="str">
        <x:v>B4</x:v>
      </x:c>
      <x:c r="G20" s="294" t="str">
        <x:v>H</x:v>
      </x:c>
      <x:c r="H20" s="294" t="str"/>
      <x:c r="I20" s="235" t="str">
        <x:v>SD ke bawah</x:v>
      </x:c>
      <x:c r="J20" s="235" t="n">
        <x:v>1</x:v>
      </x:c>
      <x:c r="K20" s="306" t="n">
        <x:v>1359539</x:v>
      </x:c>
      <x:c r="L20" s="307" t="n">
        <x:f>IF(OR(E20="",F20="",K20=""),"",SUMIFS($K$2:$K$301,$E$2:$E$301,E20,$F$2:$F$301,F20))</x:f>
        <x:v>6270920</x:v>
      </x:c>
      <x:c r="M20" s="308" t="n">
        <x:f>IFERROR(K20/L20,"")</x:f>
        <x:v>0.21680056514833548</x:v>
      </x:c>
      <x:c r="N20" s="235" t="str">
        <x:v>VERIFIED</x:v>
      </x:c>
      <x:c r="O20" s="297" t="str">
        <x:v>Tabel 69 halaman buku 103–104; angka tertimbang publik.</x:v>
      </x:c>
    </x:row>
    <x:row r="21">
      <x:c r="A21" s="293" t="str">
        <x:v>BPS69_020</x:v>
      </x:c>
      <x:c r="B21" s="235" t="str">
        <x:v>BPS_SAK25_PUB</x:v>
      </x:c>
      <x:c r="C21" s="235" t="str">
        <x:v>Sakernas_Aug2025_Table69</x:v>
      </x:c>
      <x:c r="D21" s="235" t="str">
        <x:v>2025-08</x:v>
      </x:c>
      <x:c r="E21" s="235" t="str">
        <x:v>Tier B</x:v>
      </x:c>
      <x:c r="F21" s="235" t="str">
        <x:v>B4</x:v>
      </x:c>
      <x:c r="G21" s="294" t="str">
        <x:v>H</x:v>
      </x:c>
      <x:c r="H21" s="294" t="str"/>
      <x:c r="I21" s="235" t="str">
        <x:v>SMP</x:v>
      </x:c>
      <x:c r="J21" s="235" t="n">
        <x:v>1</x:v>
      </x:c>
      <x:c r="K21" s="306" t="n">
        <x:v>1066667</x:v>
      </x:c>
      <x:c r="L21" s="307" t="n">
        <x:f>IF(OR(E21="",F21="",K21=""),"",SUMIFS($K$2:$K$301,$E$2:$E$301,E21,$F$2:$F$301,F21))</x:f>
        <x:v>6270920</x:v>
      </x:c>
      <x:c r="M21" s="308" t="n">
        <x:f>IFERROR(K21/L21,"")</x:f>
        <x:v>0.17009737008285866</x:v>
      </x:c>
      <x:c r="N21" s="235" t="str">
        <x:v>VERIFIED</x:v>
      </x:c>
      <x:c r="O21" s="297" t="str">
        <x:v>Tabel 69 halaman buku 103–104; angka tertimbang publik.</x:v>
      </x:c>
    </x:row>
    <x:row r="22">
      <x:c r="A22" s="293" t="str">
        <x:v>BPS69_021</x:v>
      </x:c>
      <x:c r="B22" s="235" t="str">
        <x:v>BPS_SAK25_PUB</x:v>
      </x:c>
      <x:c r="C22" s="235" t="str">
        <x:v>Sakernas_Aug2025_Table69</x:v>
      </x:c>
      <x:c r="D22" s="235" t="str">
        <x:v>2025-08</x:v>
      </x:c>
      <x:c r="E22" s="235" t="str">
        <x:v>Tier B</x:v>
      </x:c>
      <x:c r="F22" s="235" t="str">
        <x:v>B4</x:v>
      </x:c>
      <x:c r="G22" s="294" t="str">
        <x:v>H</x:v>
      </x:c>
      <x:c r="H22" s="294" t="str"/>
      <x:c r="I22" s="235" t="str">
        <x:v>SMA</x:v>
      </x:c>
      <x:c r="J22" s="235" t="n">
        <x:v>1</x:v>
      </x:c>
      <x:c r="K22" s="306" t="n">
        <x:v>1900439</x:v>
      </x:c>
      <x:c r="L22" s="307" t="n">
        <x:f>IF(OR(E22="",F22="",K22=""),"",SUMIFS($K$2:$K$301,$E$2:$E$301,E22,$F$2:$F$301,F22))</x:f>
        <x:v>6270920</x:v>
      </x:c>
      <x:c r="M22" s="308" t="n">
        <x:f>IFERROR(K22/L22,"")</x:f>
        <x:v>0.30305585145401315</x:v>
      </x:c>
      <x:c r="N22" s="235" t="str">
        <x:v>VERIFIED</x:v>
      </x:c>
      <x:c r="O22" s="297" t="str">
        <x:v>Tabel 69 halaman buku 103–104; angka tertimbang publik.</x:v>
      </x:c>
    </x:row>
    <x:row r="23">
      <x:c r="A23" s="293" t="str">
        <x:v>BPS69_022</x:v>
      </x:c>
      <x:c r="B23" s="235" t="str">
        <x:v>BPS_SAK25_PUB</x:v>
      </x:c>
      <x:c r="C23" s="235" t="str">
        <x:v>Sakernas_Aug2025_Table69</x:v>
      </x:c>
      <x:c r="D23" s="235" t="str">
        <x:v>2025-08</x:v>
      </x:c>
      <x:c r="E23" s="235" t="str">
        <x:v>Tier B</x:v>
      </x:c>
      <x:c r="F23" s="235" t="str">
        <x:v>B4</x:v>
      </x:c>
      <x:c r="G23" s="294" t="str">
        <x:v>H</x:v>
      </x:c>
      <x:c r="H23" s="294" t="str"/>
      <x:c r="I23" s="235" t="str">
        <x:v>SMK</x:v>
      </x:c>
      <x:c r="J23" s="235" t="n">
        <x:v>1</x:v>
      </x:c>
      <x:c r="K23" s="306" t="n">
        <x:v>1369876</x:v>
      </x:c>
      <x:c r="L23" s="307" t="n">
        <x:f>IF(OR(E23="",F23="",K23=""),"",SUMIFS($K$2:$K$301,$E$2:$E$301,E23,$F$2:$F$301,F23))</x:f>
        <x:v>6270920</x:v>
      </x:c>
      <x:c r="M23" s="308" t="n">
        <x:f>IFERROR(K23/L23,"")</x:f>
        <x:v>0.21844896761559707</x:v>
      </x:c>
      <x:c r="N23" s="235" t="str">
        <x:v>VERIFIED</x:v>
      </x:c>
      <x:c r="O23" s="297" t="str">
        <x:v>Tabel 69 halaman buku 103–104; angka tertimbang publik.</x:v>
      </x:c>
    </x:row>
    <x:row r="24">
      <x:c r="A24" s="293" t="str">
        <x:v>BPS69_023</x:v>
      </x:c>
      <x:c r="B24" s="235" t="str">
        <x:v>BPS_SAK25_PUB</x:v>
      </x:c>
      <x:c r="C24" s="235" t="str">
        <x:v>Sakernas_Aug2025_Table69</x:v>
      </x:c>
      <x:c r="D24" s="235" t="str">
        <x:v>2025-08</x:v>
      </x:c>
      <x:c r="E24" s="235" t="str">
        <x:v>Tier B</x:v>
      </x:c>
      <x:c r="F24" s="235" t="str">
        <x:v>B4</x:v>
      </x:c>
      <x:c r="G24" s="294" t="str">
        <x:v>H</x:v>
      </x:c>
      <x:c r="H24" s="294" t="str"/>
      <x:c r="I24" s="235" t="str">
        <x:v>Diploma I/II/III</x:v>
      </x:c>
      <x:c r="J24" s="235" t="n">
        <x:v>0</x:v>
      </x:c>
      <x:c r="K24" s="306" t="n">
        <x:v>167565</x:v>
      </x:c>
      <x:c r="L24" s="307" t="n">
        <x:f>IF(OR(E24="",F24="",K24=""),"",SUMIFS($K$2:$K$301,$E$2:$E$301,E24,$F$2:$F$301,F24))</x:f>
        <x:v>6270920</x:v>
      </x:c>
      <x:c r="M24" s="308" t="n">
        <x:f>IFERROR(K24/L24,"")</x:f>
        <x:v>0.026720959604013446</x:v>
      </x:c>
      <x:c r="N24" s="235" t="str">
        <x:v>VERIFIED</x:v>
      </x:c>
      <x:c r="O24" s="297" t="str">
        <x:v>Tabel 69 halaman buku 103–104; angka tertimbang publik.</x:v>
      </x:c>
    </x:row>
    <x:row r="25">
      <x:c r="A25" s="293" t="str">
        <x:v>BPS69_024</x:v>
      </x:c>
      <x:c r="B25" s="235" t="str">
        <x:v>BPS_SAK25_PUB</x:v>
      </x:c>
      <x:c r="C25" s="235" t="str">
        <x:v>Sakernas_Aug2025_Table69</x:v>
      </x:c>
      <x:c r="D25" s="235" t="str">
        <x:v>2025-08</x:v>
      </x:c>
      <x:c r="E25" s="235" t="str">
        <x:v>Tier B</x:v>
      </x:c>
      <x:c r="F25" s="235" t="str">
        <x:v>B4</x:v>
      </x:c>
      <x:c r="G25" s="294" t="str">
        <x:v>H</x:v>
      </x:c>
      <x:c r="H25" s="294" t="str"/>
      <x:c r="I25" s="235" t="str">
        <x:v>Diploma IV/S1/S2/S3</x:v>
      </x:c>
      <x:c r="J25" s="235" t="n">
        <x:v>0</x:v>
      </x:c>
      <x:c r="K25" s="306" t="n">
        <x:v>406834</x:v>
      </x:c>
      <x:c r="L25" s="307" t="n">
        <x:f>IF(OR(E25="",F25="",K25=""),"",SUMIFS($K$2:$K$301,$E$2:$E$301,E25,$F$2:$F$301,F25))</x:f>
        <x:v>6270920</x:v>
      </x:c>
      <x:c r="M25" s="308" t="n">
        <x:f>IFERROR(K25/L25,"")</x:f>
        <x:v>0.0648762860951822</x:v>
      </x:c>
      <x:c r="N25" s="235" t="str">
        <x:v>VERIFIED</x:v>
      </x:c>
      <x:c r="O25" s="297" t="str">
        <x:v>Tabel 69 halaman buku 103–104; angka tertimbang publik.</x:v>
      </x:c>
    </x:row>
    <x:row r="26">
      <x:c r="A26" s="293" t="str">
        <x:v>BPS69_025</x:v>
      </x:c>
      <x:c r="B26" s="235" t="str">
        <x:v>BPS_SAK25_PUB</x:v>
      </x:c>
      <x:c r="C26" s="235" t="str">
        <x:v>Sakernas_Aug2025_Table69</x:v>
      </x:c>
      <x:c r="D26" s="235" t="str">
        <x:v>2025-08</x:v>
      </x:c>
      <x:c r="E26" s="235" t="str">
        <x:v>Tier B</x:v>
      </x:c>
      <x:c r="F26" s="235" t="str">
        <x:v>B5</x:v>
      </x:c>
      <x:c r="G26" s="294" t="str">
        <x:v>I</x:v>
      </x:c>
      <x:c r="H26" s="294" t="str"/>
      <x:c r="I26" s="235" t="str">
        <x:v>SD ke bawah</x:v>
      </x:c>
      <x:c r="J26" s="235" t="n">
        <x:v>1</x:v>
      </x:c>
      <x:c r="K26" s="306" t="n">
        <x:v>3394686</x:v>
      </x:c>
      <x:c r="L26" s="307" t="n">
        <x:f>IF(OR(E26="",F26="",K26=""),"",SUMIFS($K$2:$K$301,$E$2:$E$301,E26,$F$2:$F$301,F26))</x:f>
        <x:v>11692579</x:v>
      </x:c>
      <x:c r="M26" s="308" t="n">
        <x:f>IFERROR(K26/L26,"")</x:f>
        <x:v>0.2903282500806708</x:v>
      </x:c>
      <x:c r="N26" s="235" t="str">
        <x:v>VERIFIED</x:v>
      </x:c>
      <x:c r="O26" s="297" t="str">
        <x:v>Tabel 69 halaman buku 103–104; angka tertimbang publik.</x:v>
      </x:c>
    </x:row>
    <x:row r="27">
      <x:c r="A27" s="293" t="str">
        <x:v>BPS69_026</x:v>
      </x:c>
      <x:c r="B27" s="235" t="str">
        <x:v>BPS_SAK25_PUB</x:v>
      </x:c>
      <x:c r="C27" s="235" t="str">
        <x:v>Sakernas_Aug2025_Table69</x:v>
      </x:c>
      <x:c r="D27" s="235" t="str">
        <x:v>2025-08</x:v>
      </x:c>
      <x:c r="E27" s="235" t="str">
        <x:v>Tier B</x:v>
      </x:c>
      <x:c r="F27" s="235" t="str">
        <x:v>B5</x:v>
      </x:c>
      <x:c r="G27" s="294" t="str">
        <x:v>I</x:v>
      </x:c>
      <x:c r="H27" s="294" t="str"/>
      <x:c r="I27" s="235" t="str">
        <x:v>SMP</x:v>
      </x:c>
      <x:c r="J27" s="235" t="n">
        <x:v>1</x:v>
      </x:c>
      <x:c r="K27" s="306" t="n">
        <x:v>2458256</x:v>
      </x:c>
      <x:c r="L27" s="307" t="n">
        <x:f>IF(OR(E27="",F27="",K27=""),"",SUMIFS($K$2:$K$301,$E$2:$E$301,E27,$F$2:$F$301,F27))</x:f>
        <x:v>11692579</x:v>
      </x:c>
      <x:c r="M27" s="308" t="n">
        <x:f>IFERROR(K27/L27,"")</x:f>
        <x:v>0.21024070053321856</x:v>
      </x:c>
      <x:c r="N27" s="235" t="str">
        <x:v>VERIFIED</x:v>
      </x:c>
      <x:c r="O27" s="297" t="str">
        <x:v>Tabel 69 halaman buku 103–104; angka tertimbang publik.</x:v>
      </x:c>
    </x:row>
    <x:row r="28">
      <x:c r="A28" s="293" t="str">
        <x:v>BPS69_027</x:v>
      </x:c>
      <x:c r="B28" s="235" t="str">
        <x:v>BPS_SAK25_PUB</x:v>
      </x:c>
      <x:c r="C28" s="235" t="str">
        <x:v>Sakernas_Aug2025_Table69</x:v>
      </x:c>
      <x:c r="D28" s="235" t="str">
        <x:v>2025-08</x:v>
      </x:c>
      <x:c r="E28" s="235" t="str">
        <x:v>Tier B</x:v>
      </x:c>
      <x:c r="F28" s="235" t="str">
        <x:v>B5</x:v>
      </x:c>
      <x:c r="G28" s="294" t="str">
        <x:v>I</x:v>
      </x:c>
      <x:c r="H28" s="294" t="str"/>
      <x:c r="I28" s="235" t="str">
        <x:v>SMA</x:v>
      </x:c>
      <x:c r="J28" s="235" t="n">
        <x:v>1</x:v>
      </x:c>
      <x:c r="K28" s="306" t="n">
        <x:v>2911339</x:v>
      </x:c>
      <x:c r="L28" s="307" t="n">
        <x:f>IF(OR(E28="",F28="",K28=""),"",SUMIFS($K$2:$K$301,$E$2:$E$301,E28,$F$2:$F$301,F28))</x:f>
        <x:v>11692579</x:v>
      </x:c>
      <x:c r="M28" s="308" t="n">
        <x:f>IFERROR(K28/L28,"")</x:f>
        <x:v>0.24899032112590389</x:v>
      </x:c>
      <x:c r="N28" s="235" t="str">
        <x:v>VERIFIED</x:v>
      </x:c>
      <x:c r="O28" s="297" t="str">
        <x:v>Tabel 69 halaman buku 103–104; angka tertimbang publik.</x:v>
      </x:c>
    </x:row>
    <x:row r="29">
      <x:c r="A29" s="293" t="str">
        <x:v>BPS69_028</x:v>
      </x:c>
      <x:c r="B29" s="235" t="str">
        <x:v>BPS_SAK25_PUB</x:v>
      </x:c>
      <x:c r="C29" s="235" t="str">
        <x:v>Sakernas_Aug2025_Table69</x:v>
      </x:c>
      <x:c r="D29" s="235" t="str">
        <x:v>2025-08</x:v>
      </x:c>
      <x:c r="E29" s="235" t="str">
        <x:v>Tier B</x:v>
      </x:c>
      <x:c r="F29" s="235" t="str">
        <x:v>B5</x:v>
      </x:c>
      <x:c r="G29" s="294" t="str">
        <x:v>I</x:v>
      </x:c>
      <x:c r="H29" s="294" t="str"/>
      <x:c r="I29" s="235" t="str">
        <x:v>SMK</x:v>
      </x:c>
      <x:c r="J29" s="235" t="n">
        <x:v>1</x:v>
      </x:c>
      <x:c r="K29" s="306" t="n">
        <x:v>2113776</x:v>
      </x:c>
      <x:c r="L29" s="307" t="n">
        <x:f>IF(OR(E29="",F29="",K29=""),"",SUMIFS($K$2:$K$301,$E$2:$E$301,E29,$F$2:$F$301,F29))</x:f>
        <x:v>11692579</x:v>
      </x:c>
      <x:c r="M29" s="308" t="n">
        <x:f>IFERROR(K29/L29,"")</x:f>
        <x:v>0.18077927889133782</x:v>
      </x:c>
      <x:c r="N29" s="235" t="str">
        <x:v>VERIFIED</x:v>
      </x:c>
      <x:c r="O29" s="297" t="str">
        <x:v>Tabel 69 halaman buku 103–104; angka tertimbang publik.</x:v>
      </x:c>
    </x:row>
    <x:row r="30">
      <x:c r="A30" s="293" t="str">
        <x:v>BPS69_029</x:v>
      </x:c>
      <x:c r="B30" s="235" t="str">
        <x:v>BPS_SAK25_PUB</x:v>
      </x:c>
      <x:c r="C30" s="235" t="str">
        <x:v>Sakernas_Aug2025_Table69</x:v>
      </x:c>
      <x:c r="D30" s="235" t="str">
        <x:v>2025-08</x:v>
      </x:c>
      <x:c r="E30" s="235" t="str">
        <x:v>Tier B</x:v>
      </x:c>
      <x:c r="F30" s="235" t="str">
        <x:v>B5</x:v>
      </x:c>
      <x:c r="G30" s="294" t="str">
        <x:v>I</x:v>
      </x:c>
      <x:c r="H30" s="294" t="str"/>
      <x:c r="I30" s="235" t="str">
        <x:v>Diploma I/II/III</x:v>
      </x:c>
      <x:c r="J30" s="235" t="n">
        <x:v>0</x:v>
      </x:c>
      <x:c r="K30" s="306" t="n">
        <x:v>244095</x:v>
      </x:c>
      <x:c r="L30" s="307" t="n">
        <x:f>IF(OR(E30="",F30="",K30=""),"",SUMIFS($K$2:$K$301,$E$2:$E$301,E30,$F$2:$F$301,F30))</x:f>
        <x:v>11692579</x:v>
      </x:c>
      <x:c r="M30" s="308" t="n">
        <x:f>IFERROR(K30/L30,"")</x:f>
        <x:v>0.020876061645595894</x:v>
      </x:c>
      <x:c r="N30" s="235" t="str">
        <x:v>VERIFIED</x:v>
      </x:c>
      <x:c r="O30" s="297" t="str">
        <x:v>Tabel 69 halaman buku 103–104; angka tertimbang publik.</x:v>
      </x:c>
    </x:row>
    <x:row r="31">
      <x:c r="A31" s="293" t="str">
        <x:v>BPS69_030</x:v>
      </x:c>
      <x:c r="B31" s="235" t="str">
        <x:v>BPS_SAK25_PUB</x:v>
      </x:c>
      <x:c r="C31" s="235" t="str">
        <x:v>Sakernas_Aug2025_Table69</x:v>
      </x:c>
      <x:c r="D31" s="235" t="str">
        <x:v>2025-08</x:v>
      </x:c>
      <x:c r="E31" s="235" t="str">
        <x:v>Tier B</x:v>
      </x:c>
      <x:c r="F31" s="235" t="str">
        <x:v>B5</x:v>
      </x:c>
      <x:c r="G31" s="294" t="str">
        <x:v>I</x:v>
      </x:c>
      <x:c r="H31" s="294" t="str"/>
      <x:c r="I31" s="235" t="str">
        <x:v>Diploma IV/S1/S2/S3</x:v>
      </x:c>
      <x:c r="J31" s="235" t="n">
        <x:v>0</x:v>
      </x:c>
      <x:c r="K31" s="306" t="n">
        <x:v>570427</x:v>
      </x:c>
      <x:c r="L31" s="307" t="n">
        <x:f>IF(OR(E31="",F31="",K31=""),"",SUMIFS($K$2:$K$301,$E$2:$E$301,E31,$F$2:$F$301,F31))</x:f>
        <x:v>11692579</x:v>
      </x:c>
      <x:c r="M31" s="308" t="n">
        <x:f>IFERROR(K31/L31,"")</x:f>
        <x:v>0.048785387723273024</x:v>
      </x:c>
      <x:c r="N31" s="235" t="str">
        <x:v>VERIFIED</x:v>
      </x:c>
      <x:c r="O31" s="297" t="str">
        <x:v>Tabel 69 halaman buku 103–104; angka tertimbang publik.</x:v>
      </x:c>
    </x:row>
    <x:row r="32">
      <x:c r="A32" s="293" t="str">
        <x:v>BPS69_031</x:v>
      </x:c>
      <x:c r="B32" s="235" t="str">
        <x:v>BPS_SAK25_PUB</x:v>
      </x:c>
      <x:c r="C32" s="235" t="str">
        <x:v>Sakernas_Aug2025_Table69</x:v>
      </x:c>
      <x:c r="D32" s="235" t="str">
        <x:v>2025-08</x:v>
      </x:c>
      <x:c r="E32" s="235" t="str">
        <x:v>Tier B</x:v>
      </x:c>
      <x:c r="F32" s="235" t="str">
        <x:v>B6</x:v>
      </x:c>
      <x:c r="G32" s="294" t="str">
        <x:v>R,S,T,U</x:v>
      </x:c>
      <x:c r="H32" s="294" t="str"/>
      <x:c r="I32" s="235" t="str">
        <x:v>SD ke bawah</x:v>
      </x:c>
      <x:c r="J32" s="235" t="n">
        <x:v>1</x:v>
      </x:c>
      <x:c r="K32" s="306" t="n">
        <x:v>2286418</x:v>
      </x:c>
      <x:c r="L32" s="307" t="n">
        <x:f>IF(OR(E32="",F32="",K32=""),"",SUMIFS($K$2:$K$301,$E$2:$E$301,E32,$F$2:$F$301,F32))</x:f>
        <x:v>6529421</x:v>
      </x:c>
      <x:c r="M32" s="308" t="n">
        <x:f>IFERROR(K32/L32,"")</x:f>
        <x:v>0.3501716308383239</x:v>
      </x:c>
      <x:c r="N32" s="235" t="str">
        <x:v>VERIFIED</x:v>
      </x:c>
      <x:c r="O32" s="297" t="str">
        <x:v>Tabel 69 halaman buku 103–104; angka tertimbang publik.</x:v>
      </x:c>
    </x:row>
    <x:row r="33">
      <x:c r="A33" s="293" t="str">
        <x:v>BPS69_032</x:v>
      </x:c>
      <x:c r="B33" s="235" t="str">
        <x:v>BPS_SAK25_PUB</x:v>
      </x:c>
      <x:c r="C33" s="235" t="str">
        <x:v>Sakernas_Aug2025_Table69</x:v>
      </x:c>
      <x:c r="D33" s="235" t="str">
        <x:v>2025-08</x:v>
      </x:c>
      <x:c r="E33" s="235" t="str">
        <x:v>Tier B</x:v>
      </x:c>
      <x:c r="F33" s="235" t="str">
        <x:v>B6</x:v>
      </x:c>
      <x:c r="G33" s="294" t="str">
        <x:v>R,S,T,U</x:v>
      </x:c>
      <x:c r="H33" s="294" t="str"/>
      <x:c r="I33" s="235" t="str">
        <x:v>SMP</x:v>
      </x:c>
      <x:c r="J33" s="235" t="n">
        <x:v>1</x:v>
      </x:c>
      <x:c r="K33" s="306" t="n">
        <x:v>1311586</x:v>
      </x:c>
      <x:c r="L33" s="307" t="n">
        <x:f>IF(OR(E33="",F33="",K33=""),"",SUMIFS($K$2:$K$301,$E$2:$E$301,E33,$F$2:$F$301,F33))</x:f>
        <x:v>6529421</x:v>
      </x:c>
      <x:c r="M33" s="308" t="n">
        <x:f>IFERROR(K33/L33,"")</x:f>
        <x:v>0.20087324741351492</x:v>
      </x:c>
      <x:c r="N33" s="235" t="str">
        <x:v>VERIFIED</x:v>
      </x:c>
      <x:c r="O33" s="297" t="str">
        <x:v>Tabel 69 halaman buku 103–104; angka tertimbang publik.</x:v>
      </x:c>
    </x:row>
    <x:row r="34">
      <x:c r="A34" s="293" t="str">
        <x:v>BPS69_033</x:v>
      </x:c>
      <x:c r="B34" s="235" t="str">
        <x:v>BPS_SAK25_PUB</x:v>
      </x:c>
      <x:c r="C34" s="235" t="str">
        <x:v>Sakernas_Aug2025_Table69</x:v>
      </x:c>
      <x:c r="D34" s="235" t="str">
        <x:v>2025-08</x:v>
      </x:c>
      <x:c r="E34" s="235" t="str">
        <x:v>Tier B</x:v>
      </x:c>
      <x:c r="F34" s="235" t="str">
        <x:v>B6</x:v>
      </x:c>
      <x:c r="G34" s="294" t="str">
        <x:v>R,S,T,U</x:v>
      </x:c>
      <x:c r="H34" s="294" t="str"/>
      <x:c r="I34" s="235" t="str">
        <x:v>SMA</x:v>
      </x:c>
      <x:c r="J34" s="235" t="n">
        <x:v>1</x:v>
      </x:c>
      <x:c r="K34" s="306" t="n">
        <x:v>1475371</x:v>
      </x:c>
      <x:c r="L34" s="307" t="n">
        <x:f>IF(OR(E34="",F34="",K34=""),"",SUMIFS($K$2:$K$301,$E$2:$E$301,E34,$F$2:$F$301,F34))</x:f>
        <x:v>6529421</x:v>
      </x:c>
      <x:c r="M34" s="308" t="n">
        <x:f>IFERROR(K34/L34,"")</x:f>
        <x:v>0.22595740112331553</x:v>
      </x:c>
      <x:c r="N34" s="235" t="str">
        <x:v>VERIFIED</x:v>
      </x:c>
      <x:c r="O34" s="297" t="str">
        <x:v>Tabel 69 halaman buku 103–104; angka tertimbang publik.</x:v>
      </x:c>
    </x:row>
    <x:row r="35">
      <x:c r="A35" s="293" t="str">
        <x:v>BPS69_034</x:v>
      </x:c>
      <x:c r="B35" s="235" t="str">
        <x:v>BPS_SAK25_PUB</x:v>
      </x:c>
      <x:c r="C35" s="235" t="str">
        <x:v>Sakernas_Aug2025_Table69</x:v>
      </x:c>
      <x:c r="D35" s="235" t="str">
        <x:v>2025-08</x:v>
      </x:c>
      <x:c r="E35" s="235" t="str">
        <x:v>Tier B</x:v>
      </x:c>
      <x:c r="F35" s="235" t="str">
        <x:v>B6</x:v>
      </x:c>
      <x:c r="G35" s="294" t="str">
        <x:v>R,S,T,U</x:v>
      </x:c>
      <x:c r="H35" s="294" t="str"/>
      <x:c r="I35" s="235" t="str">
        <x:v>SMK</x:v>
      </x:c>
      <x:c r="J35" s="235" t="n">
        <x:v>1</x:v>
      </x:c>
      <x:c r="K35" s="306" t="n">
        <x:v>910999</x:v>
      </x:c>
      <x:c r="L35" s="307" t="n">
        <x:f>IF(OR(E35="",F35="",K35=""),"",SUMIFS($K$2:$K$301,$E$2:$E$301,E35,$F$2:$F$301,F35))</x:f>
        <x:v>6529421</x:v>
      </x:c>
      <x:c r="M35" s="308" t="n">
        <x:f>IFERROR(K35/L35,"")</x:f>
        <x:v>0.13952217202719813</x:v>
      </x:c>
      <x:c r="N35" s="235" t="str">
        <x:v>VERIFIED</x:v>
      </x:c>
      <x:c r="O35" s="297" t="str">
        <x:v>Tabel 69 halaman buku 103–104; angka tertimbang publik.</x:v>
      </x:c>
    </x:row>
    <x:row r="36">
      <x:c r="A36" s="293" t="str">
        <x:v>BPS69_035</x:v>
      </x:c>
      <x:c r="B36" s="235" t="str">
        <x:v>BPS_SAK25_PUB</x:v>
      </x:c>
      <x:c r="C36" s="235" t="str">
        <x:v>Sakernas_Aug2025_Table69</x:v>
      </x:c>
      <x:c r="D36" s="235" t="str">
        <x:v>2025-08</x:v>
      </x:c>
      <x:c r="E36" s="235" t="str">
        <x:v>Tier B</x:v>
      </x:c>
      <x:c r="F36" s="235" t="str">
        <x:v>B6</x:v>
      </x:c>
      <x:c r="G36" s="294" t="str">
        <x:v>R,S,T,U</x:v>
      </x:c>
      <x:c r="H36" s="294" t="str"/>
      <x:c r="I36" s="235" t="str">
        <x:v>Diploma I/II/III</x:v>
      </x:c>
      <x:c r="J36" s="235" t="n">
        <x:v>0</x:v>
      </x:c>
      <x:c r="K36" s="306" t="n">
        <x:v>110512</x:v>
      </x:c>
      <x:c r="L36" s="307" t="n">
        <x:f>IF(OR(E36="",F36="",K36=""),"",SUMIFS($K$2:$K$301,$E$2:$E$301,E36,$F$2:$F$301,F36))</x:f>
        <x:v>6529421</x:v>
      </x:c>
      <x:c r="M36" s="308" t="n">
        <x:f>IFERROR(K36/L36,"")</x:f>
        <x:v>0.016925237321961627</x:v>
      </x:c>
      <x:c r="N36" s="235" t="str">
        <x:v>VERIFIED</x:v>
      </x:c>
      <x:c r="O36" s="297" t="str">
        <x:v>Tabel 69 halaman buku 103–104; angka tertimbang publik.</x:v>
      </x:c>
    </x:row>
    <x:row r="37">
      <x:c r="A37" s="293" t="str">
        <x:v>BPS69_036</x:v>
      </x:c>
      <x:c r="B37" s="235" t="str">
        <x:v>BPS_SAK25_PUB</x:v>
      </x:c>
      <x:c r="C37" s="235" t="str">
        <x:v>Sakernas_Aug2025_Table69</x:v>
      </x:c>
      <x:c r="D37" s="235" t="str">
        <x:v>2025-08</x:v>
      </x:c>
      <x:c r="E37" s="235" t="str">
        <x:v>Tier B</x:v>
      </x:c>
      <x:c r="F37" s="235" t="str">
        <x:v>B6</x:v>
      </x:c>
      <x:c r="G37" s="294" t="str">
        <x:v>R,S,T,U</x:v>
      </x:c>
      <x:c r="H37" s="294" t="str"/>
      <x:c r="I37" s="235" t="str">
        <x:v>Diploma IV/S1/S2/S3</x:v>
      </x:c>
      <x:c r="J37" s="235" t="n">
        <x:v>0</x:v>
      </x:c>
      <x:c r="K37" s="306" t="n">
        <x:v>434535</x:v>
      </x:c>
      <x:c r="L37" s="307" t="n">
        <x:f>IF(OR(E37="",F37="",K37=""),"",SUMIFS($K$2:$K$301,$E$2:$E$301,E37,$F$2:$F$301,F37))</x:f>
        <x:v>6529421</x:v>
      </x:c>
      <x:c r="M37" s="308" t="n">
        <x:f>IFERROR(K37/L37,"")</x:f>
        <x:v>0.06655031127568585</x:v>
      </x:c>
      <x:c r="N37" s="235" t="str">
        <x:v>VERIFIED</x:v>
      </x:c>
      <x:c r="O37" s="297" t="str">
        <x:v>Tabel 69 halaman buku 103–104; angka tertimbang publik.</x:v>
      </x:c>
    </x:row>
    <x:row r="38">
      <x:c r="A38" s="293" t="str">
        <x:v>BPS69_037</x:v>
      </x:c>
      <x:c r="B38" s="235" t="str">
        <x:v>BPS_SAK25_PUB</x:v>
      </x:c>
      <x:c r="C38" s="235" t="str">
        <x:v>Sakernas_Aug2025_Table69</x:v>
      </x:c>
      <x:c r="D38" s="235" t="str">
        <x:v>2025-08</x:v>
      </x:c>
      <x:c r="E38" s="235" t="str">
        <x:v>Tier A</x:v>
      </x:c>
      <x:c r="F38" s="235" t="str">
        <x:v>S7</x:v>
      </x:c>
      <x:c r="G38" s="294" t="str">
        <x:v>A</x:v>
      </x:c>
      <x:c r="H38" s="294" t="str"/>
      <x:c r="I38" s="235" t="str">
        <x:v>SD ke bawah</x:v>
      </x:c>
      <x:c r="J38" s="235" t="n">
        <x:v>1</x:v>
      </x:c>
      <x:c r="K38" s="306" t="n">
        <x:v>25170764</x:v>
      </x:c>
      <x:c r="L38" s="307" t="n">
        <x:f>IF(OR(E38="",F38="",K38=""),"",SUMIFS($K$2:$K$301,$E$2:$E$301,E38,$F$2:$F$301,F38))</x:f>
        <x:v>41247117</x:v>
      </x:c>
      <x:c r="M38" s="308" t="n">
        <x:f>IFERROR(K38/L38,"")</x:f>
        <x:v>0.610242989831265</x:v>
      </x:c>
      <x:c r="N38" s="235" t="str">
        <x:v>VERIFIED</x:v>
      </x:c>
      <x:c r="O38" s="297" t="str">
        <x:v>Tabel 69 halaman buku 103–104; angka tertimbang publik.</x:v>
      </x:c>
    </x:row>
    <x:row r="39">
      <x:c r="A39" s="293" t="str">
        <x:v>BPS69_038</x:v>
      </x:c>
      <x:c r="B39" s="235" t="str">
        <x:v>BPS_SAK25_PUB</x:v>
      </x:c>
      <x:c r="C39" s="235" t="str">
        <x:v>Sakernas_Aug2025_Table69</x:v>
      </x:c>
      <x:c r="D39" s="235" t="str">
        <x:v>2025-08</x:v>
      </x:c>
      <x:c r="E39" s="235" t="str">
        <x:v>Tier A</x:v>
      </x:c>
      <x:c r="F39" s="235" t="str">
        <x:v>S7</x:v>
      </x:c>
      <x:c r="G39" s="294" t="str">
        <x:v>A</x:v>
      </x:c>
      <x:c r="H39" s="294" t="str"/>
      <x:c r="I39" s="235" t="str">
        <x:v>SMP</x:v>
      </x:c>
      <x:c r="J39" s="235" t="n">
        <x:v>1</x:v>
      </x:c>
      <x:c r="K39" s="306" t="n">
        <x:v>7283567</x:v>
      </x:c>
      <x:c r="L39" s="307" t="n">
        <x:f>IF(OR(E39="",F39="",K39=""),"",SUMIFS($K$2:$K$301,$E$2:$E$301,E39,$F$2:$F$301,F39))</x:f>
        <x:v>41247117</x:v>
      </x:c>
      <x:c r="M39" s="308" t="n">
        <x:f>IFERROR(K39/L39,"")</x:f>
        <x:v>0.17658366280484525</x:v>
      </x:c>
      <x:c r="N39" s="235" t="str">
        <x:v>VERIFIED</x:v>
      </x:c>
      <x:c r="O39" s="297" t="str">
        <x:v>Tabel 69 halaman buku 103–104; angka tertimbang publik.</x:v>
      </x:c>
    </x:row>
    <x:row r="40">
      <x:c r="A40" s="293" t="str">
        <x:v>BPS69_039</x:v>
      </x:c>
      <x:c r="B40" s="235" t="str">
        <x:v>BPS_SAK25_PUB</x:v>
      </x:c>
      <x:c r="C40" s="235" t="str">
        <x:v>Sakernas_Aug2025_Table69</x:v>
      </x:c>
      <x:c r="D40" s="235" t="str">
        <x:v>2025-08</x:v>
      </x:c>
      <x:c r="E40" s="235" t="str">
        <x:v>Tier A</x:v>
      </x:c>
      <x:c r="F40" s="235" t="str">
        <x:v>S7</x:v>
      </x:c>
      <x:c r="G40" s="294" t="str">
        <x:v>A</x:v>
      </x:c>
      <x:c r="H40" s="294" t="str"/>
      <x:c r="I40" s="235" t="str">
        <x:v>SMA</x:v>
      </x:c>
      <x:c r="J40" s="235" t="n">
        <x:v>1</x:v>
      </x:c>
      <x:c r="K40" s="306" t="n">
        <x:v>5742095</x:v>
      </x:c>
      <x:c r="L40" s="307" t="n">
        <x:f>IF(OR(E40="",F40="",K40=""),"",SUMIFS($K$2:$K$301,$E$2:$E$301,E40,$F$2:$F$301,F40))</x:f>
        <x:v>41247117</x:v>
      </x:c>
      <x:c r="M40" s="308" t="n">
        <x:f>IFERROR(K40/L40,"")</x:f>
        <x:v>0.13921203268582383</x:v>
      </x:c>
      <x:c r="N40" s="235" t="str">
        <x:v>VERIFIED</x:v>
      </x:c>
      <x:c r="O40" s="297" t="str">
        <x:v>Tabel 69 halaman buku 103–104; angka tertimbang publik.</x:v>
      </x:c>
    </x:row>
    <x:row r="41">
      <x:c r="A41" s="293" t="str">
        <x:v>BPS69_040</x:v>
      </x:c>
      <x:c r="B41" s="235" t="str">
        <x:v>BPS_SAK25_PUB</x:v>
      </x:c>
      <x:c r="C41" s="235" t="str">
        <x:v>Sakernas_Aug2025_Table69</x:v>
      </x:c>
      <x:c r="D41" s="235" t="str">
        <x:v>2025-08</x:v>
      </x:c>
      <x:c r="E41" s="235" t="str">
        <x:v>Tier A</x:v>
      </x:c>
      <x:c r="F41" s="235" t="str">
        <x:v>S7</x:v>
      </x:c>
      <x:c r="G41" s="294" t="str">
        <x:v>A</x:v>
      </x:c>
      <x:c r="H41" s="294" t="str"/>
      <x:c r="I41" s="235" t="str">
        <x:v>SMK</x:v>
      </x:c>
      <x:c r="J41" s="235" t="n">
        <x:v>1</x:v>
      </x:c>
      <x:c r="K41" s="306" t="n">
        <x:v>2163886</x:v>
      </x:c>
      <x:c r="L41" s="307" t="n">
        <x:f>IF(OR(E41="",F41="",K41=""),"",SUMIFS($K$2:$K$301,$E$2:$E$301,E41,$F$2:$F$301,F41))</x:f>
        <x:v>41247117</x:v>
      </x:c>
      <x:c r="M41" s="308" t="n">
        <x:f>IFERROR(K41/L41,"")</x:f>
        <x:v>0.05246150900679919</x:v>
      </x:c>
      <x:c r="N41" s="235" t="str">
        <x:v>VERIFIED</x:v>
      </x:c>
      <x:c r="O41" s="297" t="str">
        <x:v>Tabel 69 halaman buku 103–104; angka tertimbang publik.</x:v>
      </x:c>
    </x:row>
    <x:row r="42">
      <x:c r="A42" s="293" t="str">
        <x:v>BPS69_041</x:v>
      </x:c>
      <x:c r="B42" s="235" t="str">
        <x:v>BPS_SAK25_PUB</x:v>
      </x:c>
      <x:c r="C42" s="235" t="str">
        <x:v>Sakernas_Aug2025_Table69</x:v>
      </x:c>
      <x:c r="D42" s="235" t="str">
        <x:v>2025-08</x:v>
      </x:c>
      <x:c r="E42" s="235" t="str">
        <x:v>Tier A</x:v>
      </x:c>
      <x:c r="F42" s="235" t="str">
        <x:v>S7</x:v>
      </x:c>
      <x:c r="G42" s="294" t="str">
        <x:v>A</x:v>
      </x:c>
      <x:c r="H42" s="294" t="str"/>
      <x:c r="I42" s="235" t="str">
        <x:v>Diploma I/II/III</x:v>
      </x:c>
      <x:c r="J42" s="235" t="n">
        <x:v>0</x:v>
      </x:c>
      <x:c r="K42" s="306" t="n">
        <x:v>198343</x:v>
      </x:c>
      <x:c r="L42" s="307" t="n">
        <x:f>IF(OR(E42="",F42="",K42=""),"",SUMIFS($K$2:$K$301,$E$2:$E$301,E42,$F$2:$F$301,F42))</x:f>
        <x:v>41247117</x:v>
      </x:c>
      <x:c r="M42" s="308" t="n">
        <x:f>IFERROR(K42/L42,"")</x:f>
        <x:v>0.004808651232521294</x:v>
      </x:c>
      <x:c r="N42" s="235" t="str">
        <x:v>VERIFIED</x:v>
      </x:c>
      <x:c r="O42" s="297" t="str">
        <x:v>Tabel 69 halaman buku 103–104; angka tertimbang publik.</x:v>
      </x:c>
    </x:row>
    <x:row r="43">
      <x:c r="A43" s="293" t="str">
        <x:v>BPS69_042</x:v>
      </x:c>
      <x:c r="B43" s="235" t="str">
        <x:v>BPS_SAK25_PUB</x:v>
      </x:c>
      <x:c r="C43" s="235" t="str">
        <x:v>Sakernas_Aug2025_Table69</x:v>
      </x:c>
      <x:c r="D43" s="235" t="str">
        <x:v>2025-08</x:v>
      </x:c>
      <x:c r="E43" s="235" t="str">
        <x:v>Tier A</x:v>
      </x:c>
      <x:c r="F43" s="235" t="str">
        <x:v>S7</x:v>
      </x:c>
      <x:c r="G43" s="294" t="str">
        <x:v>A</x:v>
      </x:c>
      <x:c r="H43" s="294" t="str"/>
      <x:c r="I43" s="235" t="str">
        <x:v>Diploma IV/S1/S2/S3</x:v>
      </x:c>
      <x:c r="J43" s="235" t="n">
        <x:v>0</x:v>
      </x:c>
      <x:c r="K43" s="306" t="n">
        <x:v>688462</x:v>
      </x:c>
      <x:c r="L43" s="307" t="n">
        <x:f>IF(OR(E43="",F43="",K43=""),"",SUMIFS($K$2:$K$301,$E$2:$E$301,E43,$F$2:$F$301,F43))</x:f>
        <x:v>41247117</x:v>
      </x:c>
      <x:c r="M43" s="308" t="n">
        <x:f>IFERROR(K43/L43,"")</x:f>
        <x:v>0.01669115443874538</x:v>
      </x:c>
      <x:c r="N43" s="235" t="str">
        <x:v>VERIFIED</x:v>
      </x:c>
      <x:c r="O43" s="297" t="str">
        <x:v>Tabel 69 halaman buku 103–104; angka tertimbang publik.</x:v>
      </x:c>
    </x:row>
    <x:row r="44">
      <x:c r="A44" s="293" t="str">
        <x:v>BPS69_043</x:v>
      </x:c>
      <x:c r="B44" s="235" t="str">
        <x:v>BPS_SAK25_PUB</x:v>
      </x:c>
      <x:c r="C44" s="235" t="str">
        <x:v>Sakernas_Aug2025_Table69</x:v>
      </x:c>
      <x:c r="D44" s="235" t="str">
        <x:v>2025-08</x:v>
      </x:c>
      <x:c r="E44" s="235" t="str">
        <x:v>Tier A</x:v>
      </x:c>
      <x:c r="F44" s="235" t="str">
        <x:v>S8</x:v>
      </x:c>
      <x:c r="G44" s="294" t="str">
        <x:v>G</x:v>
      </x:c>
      <x:c r="H44" s="294" t="str"/>
      <x:c r="I44" s="235" t="str">
        <x:v>SD ke bawah</x:v>
      </x:c>
      <x:c r="J44" s="235" t="n">
        <x:v>1</x:v>
      </x:c>
      <x:c r="K44" s="306" t="n">
        <x:v>7257798</x:v>
      </x:c>
      <x:c r="L44" s="307" t="n">
        <x:f>IF(OR(E44="",F44="",K44=""),"",SUMIFS($K$2:$K$301,$E$2:$E$301,E44,$F$2:$F$301,F44))</x:f>
        <x:v>27452952</x:v>
      </x:c>
      <x:c r="M44" s="308" t="n">
        <x:f>IFERROR(K44/L44,"")</x:f>
        <x:v>0.2643722248886021</x:v>
      </x:c>
      <x:c r="N44" s="235" t="str">
        <x:v>VERIFIED</x:v>
      </x:c>
      <x:c r="O44" s="297" t="str">
        <x:v>Tabel 69 halaman buku 103–104; angka tertimbang publik.</x:v>
      </x:c>
    </x:row>
    <x:row r="45">
      <x:c r="A45" s="293" t="str">
        <x:v>BPS69_044</x:v>
      </x:c>
      <x:c r="B45" s="235" t="str">
        <x:v>BPS_SAK25_PUB</x:v>
      </x:c>
      <x:c r="C45" s="235" t="str">
        <x:v>Sakernas_Aug2025_Table69</x:v>
      </x:c>
      <x:c r="D45" s="235" t="str">
        <x:v>2025-08</x:v>
      </x:c>
      <x:c r="E45" s="235" t="str">
        <x:v>Tier A</x:v>
      </x:c>
      <x:c r="F45" s="235" t="str">
        <x:v>S8</x:v>
      </x:c>
      <x:c r="G45" s="294" t="str">
        <x:v>G</x:v>
      </x:c>
      <x:c r="H45" s="294" t="str"/>
      <x:c r="I45" s="235" t="str">
        <x:v>SMP</x:v>
      </x:c>
      <x:c r="J45" s="235" t="n">
        <x:v>1</x:v>
      </x:c>
      <x:c r="K45" s="306" t="n">
        <x:v>5124325</x:v>
      </x:c>
      <x:c r="L45" s="307" t="n">
        <x:f>IF(OR(E45="",F45="",K45=""),"",SUMIFS($K$2:$K$301,$E$2:$E$301,E45,$F$2:$F$301,F45))</x:f>
        <x:v>27452952</x:v>
      </x:c>
      <x:c r="M45" s="308" t="n">
        <x:f>IFERROR(K45/L45,"")</x:f>
        <x:v>0.18665843294375045</x:v>
      </x:c>
      <x:c r="N45" s="235" t="str">
        <x:v>VERIFIED</x:v>
      </x:c>
      <x:c r="O45" s="297" t="str">
        <x:v>Tabel 69 halaman buku 103–104; angka tertimbang publik.</x:v>
      </x:c>
    </x:row>
    <x:row r="46">
      <x:c r="A46" s="293" t="str">
        <x:v>BPS69_045</x:v>
      </x:c>
      <x:c r="B46" s="235" t="str">
        <x:v>BPS_SAK25_PUB</x:v>
      </x:c>
      <x:c r="C46" s="235" t="str">
        <x:v>Sakernas_Aug2025_Table69</x:v>
      </x:c>
      <x:c r="D46" s="235" t="str">
        <x:v>2025-08</x:v>
      </x:c>
      <x:c r="E46" s="235" t="str">
        <x:v>Tier A</x:v>
      </x:c>
      <x:c r="F46" s="235" t="str">
        <x:v>S8</x:v>
      </x:c>
      <x:c r="G46" s="294" t="str">
        <x:v>G</x:v>
      </x:c>
      <x:c r="H46" s="294" t="str"/>
      <x:c r="I46" s="235" t="str">
        <x:v>SMA</x:v>
      </x:c>
      <x:c r="J46" s="235" t="n">
        <x:v>1</x:v>
      </x:c>
      <x:c r="K46" s="306" t="n">
        <x:v>7306935</x:v>
      </x:c>
      <x:c r="L46" s="307" t="n">
        <x:f>IF(OR(E46="",F46="",K46=""),"",SUMIFS($K$2:$K$301,$E$2:$E$301,E46,$F$2:$F$301,F46))</x:f>
        <x:v>27452952</x:v>
      </x:c>
      <x:c r="M46" s="308" t="n">
        <x:f>IFERROR(K46/L46,"")</x:f>
        <x:v>0.26616208704987354</x:v>
      </x:c>
      <x:c r="N46" s="235" t="str">
        <x:v>VERIFIED</x:v>
      </x:c>
      <x:c r="O46" s="297" t="str">
        <x:v>Tabel 69 halaman buku 103–104; angka tertimbang publik.</x:v>
      </x:c>
    </x:row>
    <x:row r="47">
      <x:c r="A47" s="293" t="str">
        <x:v>BPS69_046</x:v>
      </x:c>
      <x:c r="B47" s="235" t="str">
        <x:v>BPS_SAK25_PUB</x:v>
      </x:c>
      <x:c r="C47" s="235" t="str">
        <x:v>Sakernas_Aug2025_Table69</x:v>
      </x:c>
      <x:c r="D47" s="235" t="str">
        <x:v>2025-08</x:v>
      </x:c>
      <x:c r="E47" s="235" t="str">
        <x:v>Tier A</x:v>
      </x:c>
      <x:c r="F47" s="235" t="str">
        <x:v>S8</x:v>
      </x:c>
      <x:c r="G47" s="294" t="str">
        <x:v>G</x:v>
      </x:c>
      <x:c r="H47" s="294" t="str"/>
      <x:c r="I47" s="235" t="str">
        <x:v>SMK</x:v>
      </x:c>
      <x:c r="J47" s="235" t="n">
        <x:v>1</x:v>
      </x:c>
      <x:c r="K47" s="306" t="n">
        <x:v>5234097</x:v>
      </x:c>
      <x:c r="L47" s="307" t="n">
        <x:f>IF(OR(E47="",F47="",K47=""),"",SUMIFS($K$2:$K$301,$E$2:$E$301,E47,$F$2:$F$301,F47))</x:f>
        <x:v>27452952</x:v>
      </x:c>
      <x:c r="M47" s="308" t="n">
        <x:f>IFERROR(K47/L47,"")</x:f>
        <x:v>0.19065698289932537</x:v>
      </x:c>
      <x:c r="N47" s="235" t="str">
        <x:v>VERIFIED</x:v>
      </x:c>
      <x:c r="O47" s="297" t="str">
        <x:v>Tabel 69 halaman buku 103–104; angka tertimbang publik.</x:v>
      </x:c>
    </x:row>
    <x:row r="48">
      <x:c r="A48" s="293" t="str">
        <x:v>BPS69_047</x:v>
      </x:c>
      <x:c r="B48" s="235" t="str">
        <x:v>BPS_SAK25_PUB</x:v>
      </x:c>
      <x:c r="C48" s="235" t="str">
        <x:v>Sakernas_Aug2025_Table69</x:v>
      </x:c>
      <x:c r="D48" s="235" t="str">
        <x:v>2025-08</x:v>
      </x:c>
      <x:c r="E48" s="235" t="str">
        <x:v>Tier A</x:v>
      </x:c>
      <x:c r="F48" s="235" t="str">
        <x:v>S8</x:v>
      </x:c>
      <x:c r="G48" s="294" t="str">
        <x:v>G</x:v>
      </x:c>
      <x:c r="H48" s="294" t="str"/>
      <x:c r="I48" s="235" t="str">
        <x:v>Diploma I/II/III</x:v>
      </x:c>
      <x:c r="J48" s="235" t="n">
        <x:v>0</x:v>
      </x:c>
      <x:c r="K48" s="306" t="n">
        <x:v>557595</x:v>
      </x:c>
      <x:c r="L48" s="307" t="n">
        <x:f>IF(OR(E48="",F48="",K48=""),"",SUMIFS($K$2:$K$301,$E$2:$E$301,E48,$F$2:$F$301,F48))</x:f>
        <x:v>27452952</x:v>
      </x:c>
      <x:c r="M48" s="308" t="n">
        <x:f>IFERROR(K48/L48,"")</x:f>
        <x:v>0.020310930496654785</x:v>
      </x:c>
      <x:c r="N48" s="235" t="str">
        <x:v>VERIFIED</x:v>
      </x:c>
      <x:c r="O48" s="297" t="str">
        <x:v>Tabel 69 halaman buku 103–104; angka tertimbang publik.</x:v>
      </x:c>
    </x:row>
    <x:row r="49">
      <x:c r="A49" s="293" t="str">
        <x:v>BPS69_048</x:v>
      </x:c>
      <x:c r="B49" s="235" t="str">
        <x:v>BPS_SAK25_PUB</x:v>
      </x:c>
      <x:c r="C49" s="235" t="str">
        <x:v>Sakernas_Aug2025_Table69</x:v>
      </x:c>
      <x:c r="D49" s="235" t="str">
        <x:v>2025-08</x:v>
      </x:c>
      <x:c r="E49" s="235" t="str">
        <x:v>Tier A</x:v>
      </x:c>
      <x:c r="F49" s="235" t="str">
        <x:v>S8</x:v>
      </x:c>
      <x:c r="G49" s="294" t="str">
        <x:v>G</x:v>
      </x:c>
      <x:c r="H49" s="294" t="str"/>
      <x:c r="I49" s="235" t="str">
        <x:v>Diploma IV/S1/S2/S3</x:v>
      </x:c>
      <x:c r="J49" s="235" t="n">
        <x:v>0</x:v>
      </x:c>
      <x:c r="K49" s="306" t="n">
        <x:v>1972202</x:v>
      </x:c>
      <x:c r="L49" s="307" t="n">
        <x:f>IF(OR(E49="",F49="",K49=""),"",SUMIFS($K$2:$K$301,$E$2:$E$301,E49,$F$2:$F$301,F49))</x:f>
        <x:v>27452952</x:v>
      </x:c>
      <x:c r="M49" s="308" t="n">
        <x:f>IFERROR(K49/L49,"")</x:f>
        <x:v>0.07183934172179371</x:v>
      </x:c>
      <x:c r="N49" s="235" t="str">
        <x:v>VERIFIED</x:v>
      </x:c>
      <x:c r="O49" s="297" t="str">
        <x:v>Tabel 69 halaman buku 103–104; angka tertimbang publik.</x:v>
      </x:c>
    </x:row>
    <x:row r="50">
      <x:c r="A50" s="293" t="str">
        <x:v>BPS69_049</x:v>
      </x:c>
      <x:c r="B50" s="235" t="str">
        <x:v>BPS_SAK25_PUB</x:v>
      </x:c>
      <x:c r="C50" s="235" t="str">
        <x:v>Sakernas_Aug2025_Table69</x:v>
      </x:c>
      <x:c r="D50" s="235" t="str">
        <x:v>2025-08</x:v>
      </x:c>
      <x:c r="E50" s="235" t="str">
        <x:v>Tier A</x:v>
      </x:c>
      <x:c r="F50" s="235" t="str">
        <x:v>S9</x:v>
      </x:c>
      <x:c r="G50" s="294" t="str">
        <x:v>H</x:v>
      </x:c>
      <x:c r="H50" s="294" t="str"/>
      <x:c r="I50" s="235" t="str">
        <x:v>SD ke bawah</x:v>
      </x:c>
      <x:c r="J50" s="235" t="n">
        <x:v>1</x:v>
      </x:c>
      <x:c r="K50" s="306" t="n">
        <x:v>1359539</x:v>
      </x:c>
      <x:c r="L50" s="307" t="n">
        <x:f>IF(OR(E50="",F50="",K50=""),"",SUMIFS($K$2:$K$301,$E$2:$E$301,E50,$F$2:$F$301,F50))</x:f>
        <x:v>6270920</x:v>
      </x:c>
      <x:c r="M50" s="308" t="n">
        <x:f>IFERROR(K50/L50,"")</x:f>
        <x:v>0.21680056514833548</x:v>
      </x:c>
      <x:c r="N50" s="235" t="str">
        <x:v>VERIFIED</x:v>
      </x:c>
      <x:c r="O50" s="297" t="str">
        <x:v>Tabel 69 halaman buku 103–104; angka tertimbang publik.</x:v>
      </x:c>
    </x:row>
    <x:row r="51">
      <x:c r="A51" s="293" t="str">
        <x:v>BPS69_050</x:v>
      </x:c>
      <x:c r="B51" s="235" t="str">
        <x:v>BPS_SAK25_PUB</x:v>
      </x:c>
      <x:c r="C51" s="235" t="str">
        <x:v>Sakernas_Aug2025_Table69</x:v>
      </x:c>
      <x:c r="D51" s="235" t="str">
        <x:v>2025-08</x:v>
      </x:c>
      <x:c r="E51" s="235" t="str">
        <x:v>Tier A</x:v>
      </x:c>
      <x:c r="F51" s="235" t="str">
        <x:v>S9</x:v>
      </x:c>
      <x:c r="G51" s="294" t="str">
        <x:v>H</x:v>
      </x:c>
      <x:c r="H51" s="294" t="str"/>
      <x:c r="I51" s="235" t="str">
        <x:v>SMP</x:v>
      </x:c>
      <x:c r="J51" s="235" t="n">
        <x:v>1</x:v>
      </x:c>
      <x:c r="K51" s="306" t="n">
        <x:v>1066667</x:v>
      </x:c>
      <x:c r="L51" s="307" t="n">
        <x:f>IF(OR(E51="",F51="",K51=""),"",SUMIFS($K$2:$K$301,$E$2:$E$301,E51,$F$2:$F$301,F51))</x:f>
        <x:v>6270920</x:v>
      </x:c>
      <x:c r="M51" s="308" t="n">
        <x:f>IFERROR(K51/L51,"")</x:f>
        <x:v>0.17009737008285866</x:v>
      </x:c>
      <x:c r="N51" s="235" t="str">
        <x:v>VERIFIED</x:v>
      </x:c>
      <x:c r="O51" s="297" t="str">
        <x:v>Tabel 69 halaman buku 103–104; angka tertimbang publik.</x:v>
      </x:c>
    </x:row>
    <x:row r="52">
      <x:c r="A52" s="293" t="str">
        <x:v>BPS69_051</x:v>
      </x:c>
      <x:c r="B52" s="235" t="str">
        <x:v>BPS_SAK25_PUB</x:v>
      </x:c>
      <x:c r="C52" s="235" t="str">
        <x:v>Sakernas_Aug2025_Table69</x:v>
      </x:c>
      <x:c r="D52" s="235" t="str">
        <x:v>2025-08</x:v>
      </x:c>
      <x:c r="E52" s="235" t="str">
        <x:v>Tier A</x:v>
      </x:c>
      <x:c r="F52" s="235" t="str">
        <x:v>S9</x:v>
      </x:c>
      <x:c r="G52" s="294" t="str">
        <x:v>H</x:v>
      </x:c>
      <x:c r="H52" s="294" t="str"/>
      <x:c r="I52" s="235" t="str">
        <x:v>SMA</x:v>
      </x:c>
      <x:c r="J52" s="235" t="n">
        <x:v>1</x:v>
      </x:c>
      <x:c r="K52" s="306" t="n">
        <x:v>1900439</x:v>
      </x:c>
      <x:c r="L52" s="307" t="n">
        <x:f>IF(OR(E52="",F52="",K52=""),"",SUMIFS($K$2:$K$301,$E$2:$E$301,E52,$F$2:$F$301,F52))</x:f>
        <x:v>6270920</x:v>
      </x:c>
      <x:c r="M52" s="308" t="n">
        <x:f>IFERROR(K52/L52,"")</x:f>
        <x:v>0.30305585145401315</x:v>
      </x:c>
      <x:c r="N52" s="235" t="str">
        <x:v>VERIFIED</x:v>
      </x:c>
      <x:c r="O52" s="297" t="str">
        <x:v>Tabel 69 halaman buku 103–104; angka tertimbang publik.</x:v>
      </x:c>
    </x:row>
    <x:row r="53">
      <x:c r="A53" s="293" t="str">
        <x:v>BPS69_052</x:v>
      </x:c>
      <x:c r="B53" s="235" t="str">
        <x:v>BPS_SAK25_PUB</x:v>
      </x:c>
      <x:c r="C53" s="235" t="str">
        <x:v>Sakernas_Aug2025_Table69</x:v>
      </x:c>
      <x:c r="D53" s="235" t="str">
        <x:v>2025-08</x:v>
      </x:c>
      <x:c r="E53" s="235" t="str">
        <x:v>Tier A</x:v>
      </x:c>
      <x:c r="F53" s="235" t="str">
        <x:v>S9</x:v>
      </x:c>
      <x:c r="G53" s="294" t="str">
        <x:v>H</x:v>
      </x:c>
      <x:c r="H53" s="294" t="str"/>
      <x:c r="I53" s="235" t="str">
        <x:v>SMK</x:v>
      </x:c>
      <x:c r="J53" s="235" t="n">
        <x:v>1</x:v>
      </x:c>
      <x:c r="K53" s="306" t="n">
        <x:v>1369876</x:v>
      </x:c>
      <x:c r="L53" s="307" t="n">
        <x:f>IF(OR(E53="",F53="",K53=""),"",SUMIFS($K$2:$K$301,$E$2:$E$301,E53,$F$2:$F$301,F53))</x:f>
        <x:v>6270920</x:v>
      </x:c>
      <x:c r="M53" s="308" t="n">
        <x:f>IFERROR(K53/L53,"")</x:f>
        <x:v>0.21844896761559707</x:v>
      </x:c>
      <x:c r="N53" s="235" t="str">
        <x:v>VERIFIED</x:v>
      </x:c>
      <x:c r="O53" s="297" t="str">
        <x:v>Tabel 69 halaman buku 103–104; angka tertimbang publik.</x:v>
      </x:c>
    </x:row>
    <x:row r="54">
      <x:c r="A54" s="293" t="str">
        <x:v>BPS69_053</x:v>
      </x:c>
      <x:c r="B54" s="235" t="str">
        <x:v>BPS_SAK25_PUB</x:v>
      </x:c>
      <x:c r="C54" s="235" t="str">
        <x:v>Sakernas_Aug2025_Table69</x:v>
      </x:c>
      <x:c r="D54" s="235" t="str">
        <x:v>2025-08</x:v>
      </x:c>
      <x:c r="E54" s="235" t="str">
        <x:v>Tier A</x:v>
      </x:c>
      <x:c r="F54" s="235" t="str">
        <x:v>S9</x:v>
      </x:c>
      <x:c r="G54" s="294" t="str">
        <x:v>H</x:v>
      </x:c>
      <x:c r="H54" s="294" t="str"/>
      <x:c r="I54" s="235" t="str">
        <x:v>Diploma I/II/III</x:v>
      </x:c>
      <x:c r="J54" s="235" t="n">
        <x:v>0</x:v>
      </x:c>
      <x:c r="K54" s="306" t="n">
        <x:v>167565</x:v>
      </x:c>
      <x:c r="L54" s="307" t="n">
        <x:f>IF(OR(E54="",F54="",K54=""),"",SUMIFS($K$2:$K$301,$E$2:$E$301,E54,$F$2:$F$301,F54))</x:f>
        <x:v>6270920</x:v>
      </x:c>
      <x:c r="M54" s="308" t="n">
        <x:f>IFERROR(K54/L54,"")</x:f>
        <x:v>0.026720959604013446</x:v>
      </x:c>
      <x:c r="N54" s="235" t="str">
        <x:v>VERIFIED</x:v>
      </x:c>
      <x:c r="O54" s="297" t="str">
        <x:v>Tabel 69 halaman buku 103–104; angka tertimbang publik.</x:v>
      </x:c>
    </x:row>
    <x:row r="55">
      <x:c r="A55" s="293" t="str">
        <x:v>BPS69_054</x:v>
      </x:c>
      <x:c r="B55" s="235" t="str">
        <x:v>BPS_SAK25_PUB</x:v>
      </x:c>
      <x:c r="C55" s="235" t="str">
        <x:v>Sakernas_Aug2025_Table69</x:v>
      </x:c>
      <x:c r="D55" s="235" t="str">
        <x:v>2025-08</x:v>
      </x:c>
      <x:c r="E55" s="235" t="str">
        <x:v>Tier A</x:v>
      </x:c>
      <x:c r="F55" s="235" t="str">
        <x:v>S9</x:v>
      </x:c>
      <x:c r="G55" s="294" t="str">
        <x:v>H</x:v>
      </x:c>
      <x:c r="H55" s="294" t="str"/>
      <x:c r="I55" s="235" t="str">
        <x:v>Diploma IV/S1/S2/S3</x:v>
      </x:c>
      <x:c r="J55" s="235" t="n">
        <x:v>0</x:v>
      </x:c>
      <x:c r="K55" s="306" t="n">
        <x:v>406834</x:v>
      </x:c>
      <x:c r="L55" s="307" t="n">
        <x:f>IF(OR(E55="",F55="",K55=""),"",SUMIFS($K$2:$K$301,$E$2:$E$301,E55,$F$2:$F$301,F55))</x:f>
        <x:v>6270920</x:v>
      </x:c>
      <x:c r="M55" s="308" t="n">
        <x:f>IFERROR(K55/L55,"")</x:f>
        <x:v>0.0648762860951822</x:v>
      </x:c>
      <x:c r="N55" s="235" t="str">
        <x:v>VERIFIED</x:v>
      </x:c>
      <x:c r="O55" s="297" t="str">
        <x:v>Tabel 69 halaman buku 103–104; angka tertimbang publik.</x:v>
      </x:c>
    </x:row>
    <x:row r="56">
      <x:c r="A56" s="293" t="str">
        <x:v>BPS69_055</x:v>
      </x:c>
      <x:c r="B56" s="235" t="str">
        <x:v>BPS_SAK25_PUB</x:v>
      </x:c>
      <x:c r="C56" s="235" t="str">
        <x:v>Sakernas_Aug2025_Table69</x:v>
      </x:c>
      <x:c r="D56" s="235" t="str">
        <x:v>2025-08</x:v>
      </x:c>
      <x:c r="E56" s="235" t="str">
        <x:v>Tier A</x:v>
      </x:c>
      <x:c r="F56" s="235" t="str">
        <x:v>S10</x:v>
      </x:c>
      <x:c r="G56" s="294" t="str">
        <x:v>I</x:v>
      </x:c>
      <x:c r="H56" s="294" t="str"/>
      <x:c r="I56" s="235" t="str">
        <x:v>SD ke bawah</x:v>
      </x:c>
      <x:c r="J56" s="235" t="n">
        <x:v>1</x:v>
      </x:c>
      <x:c r="K56" s="306" t="n">
        <x:v>3394686</x:v>
      </x:c>
      <x:c r="L56" s="307" t="n">
        <x:f>IF(OR(E56="",F56="",K56=""),"",SUMIFS($K$2:$K$301,$E$2:$E$301,E56,$F$2:$F$301,F56))</x:f>
        <x:v>11692579</x:v>
      </x:c>
      <x:c r="M56" s="308" t="n">
        <x:f>IFERROR(K56/L56,"")</x:f>
        <x:v>0.2903282500806708</x:v>
      </x:c>
      <x:c r="N56" s="235" t="str">
        <x:v>VERIFIED</x:v>
      </x:c>
      <x:c r="O56" s="297" t="str">
        <x:v>Tabel 69 halaman buku 103–104; angka tertimbang publik.</x:v>
      </x:c>
    </x:row>
    <x:row r="57">
      <x:c r="A57" s="293" t="str">
        <x:v>BPS69_056</x:v>
      </x:c>
      <x:c r="B57" s="235" t="str">
        <x:v>BPS_SAK25_PUB</x:v>
      </x:c>
      <x:c r="C57" s="235" t="str">
        <x:v>Sakernas_Aug2025_Table69</x:v>
      </x:c>
      <x:c r="D57" s="235" t="str">
        <x:v>2025-08</x:v>
      </x:c>
      <x:c r="E57" s="235" t="str">
        <x:v>Tier A</x:v>
      </x:c>
      <x:c r="F57" s="235" t="str">
        <x:v>S10</x:v>
      </x:c>
      <x:c r="G57" s="294" t="str">
        <x:v>I</x:v>
      </x:c>
      <x:c r="H57" s="294" t="str"/>
      <x:c r="I57" s="235" t="str">
        <x:v>SMP</x:v>
      </x:c>
      <x:c r="J57" s="235" t="n">
        <x:v>1</x:v>
      </x:c>
      <x:c r="K57" s="306" t="n">
        <x:v>2458256</x:v>
      </x:c>
      <x:c r="L57" s="307" t="n">
        <x:f>IF(OR(E57="",F57="",K57=""),"",SUMIFS($K$2:$K$301,$E$2:$E$301,E57,$F$2:$F$301,F57))</x:f>
        <x:v>11692579</x:v>
      </x:c>
      <x:c r="M57" s="308" t="n">
        <x:f>IFERROR(K57/L57,"")</x:f>
        <x:v>0.21024070053321856</x:v>
      </x:c>
      <x:c r="N57" s="235" t="str">
        <x:v>VERIFIED</x:v>
      </x:c>
      <x:c r="O57" s="297" t="str">
        <x:v>Tabel 69 halaman buku 103–104; angka tertimbang publik.</x:v>
      </x:c>
    </x:row>
    <x:row r="58">
      <x:c r="A58" s="293" t="str">
        <x:v>BPS69_057</x:v>
      </x:c>
      <x:c r="B58" s="235" t="str">
        <x:v>BPS_SAK25_PUB</x:v>
      </x:c>
      <x:c r="C58" s="235" t="str">
        <x:v>Sakernas_Aug2025_Table69</x:v>
      </x:c>
      <x:c r="D58" s="235" t="str">
        <x:v>2025-08</x:v>
      </x:c>
      <x:c r="E58" s="235" t="str">
        <x:v>Tier A</x:v>
      </x:c>
      <x:c r="F58" s="235" t="str">
        <x:v>S10</x:v>
      </x:c>
      <x:c r="G58" s="294" t="str">
        <x:v>I</x:v>
      </x:c>
      <x:c r="H58" s="294" t="str"/>
      <x:c r="I58" s="235" t="str">
        <x:v>SMA</x:v>
      </x:c>
      <x:c r="J58" s="235" t="n">
        <x:v>1</x:v>
      </x:c>
      <x:c r="K58" s="306" t="n">
        <x:v>2911339</x:v>
      </x:c>
      <x:c r="L58" s="307" t="n">
        <x:f>IF(OR(E58="",F58="",K58=""),"",SUMIFS($K$2:$K$301,$E$2:$E$301,E58,$F$2:$F$301,F58))</x:f>
        <x:v>11692579</x:v>
      </x:c>
      <x:c r="M58" s="308" t="n">
        <x:f>IFERROR(K58/L58,"")</x:f>
        <x:v>0.24899032112590389</x:v>
      </x:c>
      <x:c r="N58" s="235" t="str">
        <x:v>VERIFIED</x:v>
      </x:c>
      <x:c r="O58" s="297" t="str">
        <x:v>Tabel 69 halaman buku 103–104; angka tertimbang publik.</x:v>
      </x:c>
    </x:row>
    <x:row r="59">
      <x:c r="A59" s="293" t="str">
        <x:v>BPS69_058</x:v>
      </x:c>
      <x:c r="B59" s="235" t="str">
        <x:v>BPS_SAK25_PUB</x:v>
      </x:c>
      <x:c r="C59" s="235" t="str">
        <x:v>Sakernas_Aug2025_Table69</x:v>
      </x:c>
      <x:c r="D59" s="235" t="str">
        <x:v>2025-08</x:v>
      </x:c>
      <x:c r="E59" s="235" t="str">
        <x:v>Tier A</x:v>
      </x:c>
      <x:c r="F59" s="235" t="str">
        <x:v>S10</x:v>
      </x:c>
      <x:c r="G59" s="294" t="str">
        <x:v>I</x:v>
      </x:c>
      <x:c r="H59" s="294" t="str"/>
      <x:c r="I59" s="235" t="str">
        <x:v>SMK</x:v>
      </x:c>
      <x:c r="J59" s="235" t="n">
        <x:v>1</x:v>
      </x:c>
      <x:c r="K59" s="306" t="n">
        <x:v>2113776</x:v>
      </x:c>
      <x:c r="L59" s="307" t="n">
        <x:f>IF(OR(E59="",F59="",K59=""),"",SUMIFS($K$2:$K$301,$E$2:$E$301,E59,$F$2:$F$301,F59))</x:f>
        <x:v>11692579</x:v>
      </x:c>
      <x:c r="M59" s="308" t="n">
        <x:f>IFERROR(K59/L59,"")</x:f>
        <x:v>0.18077927889133782</x:v>
      </x:c>
      <x:c r="N59" s="235" t="str">
        <x:v>VERIFIED</x:v>
      </x:c>
      <x:c r="O59" s="297" t="str">
        <x:v>Tabel 69 halaman buku 103–104; angka tertimbang publik.</x:v>
      </x:c>
    </x:row>
    <x:row r="60">
      <x:c r="A60" s="293" t="str">
        <x:v>BPS69_059</x:v>
      </x:c>
      <x:c r="B60" s="235" t="str">
        <x:v>BPS_SAK25_PUB</x:v>
      </x:c>
      <x:c r="C60" s="235" t="str">
        <x:v>Sakernas_Aug2025_Table69</x:v>
      </x:c>
      <x:c r="D60" s="235" t="str">
        <x:v>2025-08</x:v>
      </x:c>
      <x:c r="E60" s="235" t="str">
        <x:v>Tier A</x:v>
      </x:c>
      <x:c r="F60" s="235" t="str">
        <x:v>S10</x:v>
      </x:c>
      <x:c r="G60" s="294" t="str">
        <x:v>I</x:v>
      </x:c>
      <x:c r="H60" s="294" t="str"/>
      <x:c r="I60" s="235" t="str">
        <x:v>Diploma I/II/III</x:v>
      </x:c>
      <x:c r="J60" s="235" t="n">
        <x:v>0</x:v>
      </x:c>
      <x:c r="K60" s="306" t="n">
        <x:v>244095</x:v>
      </x:c>
      <x:c r="L60" s="307" t="n">
        <x:f>IF(OR(E60="",F60="",K60=""),"",SUMIFS($K$2:$K$301,$E$2:$E$301,E60,$F$2:$F$301,F60))</x:f>
        <x:v>11692579</x:v>
      </x:c>
      <x:c r="M60" s="308" t="n">
        <x:f>IFERROR(K60/L60,"")</x:f>
        <x:v>0.020876061645595894</x:v>
      </x:c>
      <x:c r="N60" s="235" t="str">
        <x:v>VERIFIED</x:v>
      </x:c>
      <x:c r="O60" s="297" t="str">
        <x:v>Tabel 69 halaman buku 103–104; angka tertimbang publik.</x:v>
      </x:c>
    </x:row>
    <x:row r="61">
      <x:c r="A61" s="293" t="str">
        <x:v>BPS69_060</x:v>
      </x:c>
      <x:c r="B61" s="235" t="str">
        <x:v>BPS_SAK25_PUB</x:v>
      </x:c>
      <x:c r="C61" s="235" t="str">
        <x:v>Sakernas_Aug2025_Table69</x:v>
      </x:c>
      <x:c r="D61" s="235" t="str">
        <x:v>2025-08</x:v>
      </x:c>
      <x:c r="E61" s="235" t="str">
        <x:v>Tier A</x:v>
      </x:c>
      <x:c r="F61" s="235" t="str">
        <x:v>S10</x:v>
      </x:c>
      <x:c r="G61" s="294" t="str">
        <x:v>I</x:v>
      </x:c>
      <x:c r="H61" s="294" t="str"/>
      <x:c r="I61" s="235" t="str">
        <x:v>Diploma IV/S1/S2/S3</x:v>
      </x:c>
      <x:c r="J61" s="235" t="n">
        <x:v>0</x:v>
      </x:c>
      <x:c r="K61" s="306" t="n">
        <x:v>570427</x:v>
      </x:c>
      <x:c r="L61" s="307" t="n">
        <x:f>IF(OR(E61="",F61="",K61=""),"",SUMIFS($K$2:$K$301,$E$2:$E$301,E61,$F$2:$F$301,F61))</x:f>
        <x:v>11692579</x:v>
      </x:c>
      <x:c r="M61" s="308" t="n">
        <x:f>IFERROR(K61/L61,"")</x:f>
        <x:v>0.048785387723273024</x:v>
      </x:c>
      <x:c r="N61" s="235" t="str">
        <x:v>VERIFIED</x:v>
      </x:c>
      <x:c r="O61" s="297" t="str">
        <x:v>Tabel 69 halaman buku 103–104; angka tertimbang publik.</x:v>
      </x:c>
    </x:row>
    <x:row r="62">
      <x:c r="A62" s="293" t="str">
        <x:v>BPS69_061</x:v>
      </x:c>
      <x:c r="B62" s="235" t="str">
        <x:v>BPS_SAK25_PUB</x:v>
      </x:c>
      <x:c r="C62" s="235" t="str">
        <x:v>Sakernas_Aug2025_Table69</x:v>
      </x:c>
      <x:c r="D62" s="235" t="str">
        <x:v>2025-08</x:v>
      </x:c>
      <x:c r="E62" s="235" t="str">
        <x:v>Tier A</x:v>
      </x:c>
      <x:c r="F62" s="235" t="str">
        <x:v>S11</x:v>
      </x:c>
      <x:c r="G62" s="294" t="str">
        <x:v>R,S,T,U</x:v>
      </x:c>
      <x:c r="H62" s="294" t="str"/>
      <x:c r="I62" s="235" t="str">
        <x:v>SD ke bawah</x:v>
      </x:c>
      <x:c r="J62" s="235" t="n">
        <x:v>1</x:v>
      </x:c>
      <x:c r="K62" s="306" t="n">
        <x:v>2286418</x:v>
      </x:c>
      <x:c r="L62" s="307" t="n">
        <x:f>IF(OR(E62="",F62="",K62=""),"",SUMIFS($K$2:$K$301,$E$2:$E$301,E62,$F$2:$F$301,F62))</x:f>
        <x:v>6529421</x:v>
      </x:c>
      <x:c r="M62" s="308" t="n">
        <x:f>IFERROR(K62/L62,"")</x:f>
        <x:v>0.3501716308383239</x:v>
      </x:c>
      <x:c r="N62" s="235" t="str">
        <x:v>VERIFIED</x:v>
      </x:c>
      <x:c r="O62" s="297" t="str">
        <x:v>Tabel 69 halaman buku 103–104; angka tertimbang publik.</x:v>
      </x:c>
    </x:row>
    <x:row r="63">
      <x:c r="A63" s="293" t="str">
        <x:v>BPS69_062</x:v>
      </x:c>
      <x:c r="B63" s="235" t="str">
        <x:v>BPS_SAK25_PUB</x:v>
      </x:c>
      <x:c r="C63" s="235" t="str">
        <x:v>Sakernas_Aug2025_Table69</x:v>
      </x:c>
      <x:c r="D63" s="235" t="str">
        <x:v>2025-08</x:v>
      </x:c>
      <x:c r="E63" s="235" t="str">
        <x:v>Tier A</x:v>
      </x:c>
      <x:c r="F63" s="235" t="str">
        <x:v>S11</x:v>
      </x:c>
      <x:c r="G63" s="294" t="str">
        <x:v>R,S,T,U</x:v>
      </x:c>
      <x:c r="H63" s="294" t="str"/>
      <x:c r="I63" s="235" t="str">
        <x:v>SMP</x:v>
      </x:c>
      <x:c r="J63" s="235" t="n">
        <x:v>1</x:v>
      </x:c>
      <x:c r="K63" s="306" t="n">
        <x:v>1311586</x:v>
      </x:c>
      <x:c r="L63" s="307" t="n">
        <x:f>IF(OR(E63="",F63="",K63=""),"",SUMIFS($K$2:$K$301,$E$2:$E$301,E63,$F$2:$F$301,F63))</x:f>
        <x:v>6529421</x:v>
      </x:c>
      <x:c r="M63" s="308" t="n">
        <x:f>IFERROR(K63/L63,"")</x:f>
        <x:v>0.20087324741351492</x:v>
      </x:c>
      <x:c r="N63" s="235" t="str">
        <x:v>VERIFIED</x:v>
      </x:c>
      <x:c r="O63" s="297" t="str">
        <x:v>Tabel 69 halaman buku 103–104; angka tertimbang publik.</x:v>
      </x:c>
    </x:row>
    <x:row r="64">
      <x:c r="A64" s="293" t="str">
        <x:v>BPS69_063</x:v>
      </x:c>
      <x:c r="B64" s="235" t="str">
        <x:v>BPS_SAK25_PUB</x:v>
      </x:c>
      <x:c r="C64" s="235" t="str">
        <x:v>Sakernas_Aug2025_Table69</x:v>
      </x:c>
      <x:c r="D64" s="235" t="str">
        <x:v>2025-08</x:v>
      </x:c>
      <x:c r="E64" s="235" t="str">
        <x:v>Tier A</x:v>
      </x:c>
      <x:c r="F64" s="235" t="str">
        <x:v>S11</x:v>
      </x:c>
      <x:c r="G64" s="294" t="str">
        <x:v>R,S,T,U</x:v>
      </x:c>
      <x:c r="H64" s="294" t="str"/>
      <x:c r="I64" s="235" t="str">
        <x:v>SMA</x:v>
      </x:c>
      <x:c r="J64" s="235" t="n">
        <x:v>1</x:v>
      </x:c>
      <x:c r="K64" s="306" t="n">
        <x:v>1475371</x:v>
      </x:c>
      <x:c r="L64" s="307" t="n">
        <x:f>IF(OR(E64="",F64="",K64=""),"",SUMIFS($K$2:$K$301,$E$2:$E$301,E64,$F$2:$F$301,F64))</x:f>
        <x:v>6529421</x:v>
      </x:c>
      <x:c r="M64" s="308" t="n">
        <x:f>IFERROR(K64/L64,"")</x:f>
        <x:v>0.22595740112331553</x:v>
      </x:c>
      <x:c r="N64" s="235" t="str">
        <x:v>VERIFIED</x:v>
      </x:c>
      <x:c r="O64" s="297" t="str">
        <x:v>Tabel 69 halaman buku 103–104; angka tertimbang publik.</x:v>
      </x:c>
    </x:row>
    <x:row r="65">
      <x:c r="A65" s="293" t="str">
        <x:v>BPS69_064</x:v>
      </x:c>
      <x:c r="B65" s="235" t="str">
        <x:v>BPS_SAK25_PUB</x:v>
      </x:c>
      <x:c r="C65" s="235" t="str">
        <x:v>Sakernas_Aug2025_Table69</x:v>
      </x:c>
      <x:c r="D65" s="235" t="str">
        <x:v>2025-08</x:v>
      </x:c>
      <x:c r="E65" s="235" t="str">
        <x:v>Tier A</x:v>
      </x:c>
      <x:c r="F65" s="235" t="str">
        <x:v>S11</x:v>
      </x:c>
      <x:c r="G65" s="294" t="str">
        <x:v>R,S,T,U</x:v>
      </x:c>
      <x:c r="H65" s="294" t="str"/>
      <x:c r="I65" s="235" t="str">
        <x:v>SMK</x:v>
      </x:c>
      <x:c r="J65" s="235" t="n">
        <x:v>1</x:v>
      </x:c>
      <x:c r="K65" s="306" t="n">
        <x:v>910999</x:v>
      </x:c>
      <x:c r="L65" s="307" t="n">
        <x:f>IF(OR(E65="",F65="",K65=""),"",SUMIFS($K$2:$K$301,$E$2:$E$301,E65,$F$2:$F$301,F65))</x:f>
        <x:v>6529421</x:v>
      </x:c>
      <x:c r="M65" s="308" t="n">
        <x:f>IFERROR(K65/L65,"")</x:f>
        <x:v>0.13952217202719813</x:v>
      </x:c>
      <x:c r="N65" s="235" t="str">
        <x:v>VERIFIED</x:v>
      </x:c>
      <x:c r="O65" s="297" t="str">
        <x:v>Tabel 69 halaman buku 103–104; angka tertimbang publik.</x:v>
      </x:c>
    </x:row>
    <x:row r="66">
      <x:c r="A66" s="293" t="str">
        <x:v>BPS69_065</x:v>
      </x:c>
      <x:c r="B66" s="235" t="str">
        <x:v>BPS_SAK25_PUB</x:v>
      </x:c>
      <x:c r="C66" s="235" t="str">
        <x:v>Sakernas_Aug2025_Table69</x:v>
      </x:c>
      <x:c r="D66" s="235" t="str">
        <x:v>2025-08</x:v>
      </x:c>
      <x:c r="E66" s="235" t="str">
        <x:v>Tier A</x:v>
      </x:c>
      <x:c r="F66" s="235" t="str">
        <x:v>S11</x:v>
      </x:c>
      <x:c r="G66" s="294" t="str">
        <x:v>R,S,T,U</x:v>
      </x:c>
      <x:c r="H66" s="294" t="str"/>
      <x:c r="I66" s="235" t="str">
        <x:v>Diploma I/II/III</x:v>
      </x:c>
      <x:c r="J66" s="235" t="n">
        <x:v>0</x:v>
      </x:c>
      <x:c r="K66" s="306" t="n">
        <x:v>110512</x:v>
      </x:c>
      <x:c r="L66" s="307" t="n">
        <x:f>IF(OR(E66="",F66="",K66=""),"",SUMIFS($K$2:$K$301,$E$2:$E$301,E66,$F$2:$F$301,F66))</x:f>
        <x:v>6529421</x:v>
      </x:c>
      <x:c r="M66" s="308" t="n">
        <x:f>IFERROR(K66/L66,"")</x:f>
        <x:v>0.016925237321961627</x:v>
      </x:c>
      <x:c r="N66" s="235" t="str">
        <x:v>VERIFIED</x:v>
      </x:c>
      <x:c r="O66" s="297" t="str">
        <x:v>Tabel 69 halaman buku 103–104; angka tertimbang publik.</x:v>
      </x:c>
    </x:row>
    <x:row r="67">
      <x:c r="A67" s="293" t="str">
        <x:v>BPS69_066</x:v>
      </x:c>
      <x:c r="B67" s="235" t="str">
        <x:v>BPS_SAK25_PUB</x:v>
      </x:c>
      <x:c r="C67" s="235" t="str">
        <x:v>Sakernas_Aug2025_Table69</x:v>
      </x:c>
      <x:c r="D67" s="235" t="str">
        <x:v>2025-08</x:v>
      </x:c>
      <x:c r="E67" s="235" t="str">
        <x:v>Tier A</x:v>
      </x:c>
      <x:c r="F67" s="235" t="str">
        <x:v>S11</x:v>
      </x:c>
      <x:c r="G67" s="294" t="str">
        <x:v>R,S,T,U</x:v>
      </x:c>
      <x:c r="H67" s="294" t="str"/>
      <x:c r="I67" s="235" t="str">
        <x:v>Diploma IV/S1/S2/S3</x:v>
      </x:c>
      <x:c r="J67" s="235" t="n">
        <x:v>0</x:v>
      </x:c>
      <x:c r="K67" s="306" t="n">
        <x:v>434535</x:v>
      </x:c>
      <x:c r="L67" s="307" t="n">
        <x:f>IF(OR(E67="",F67="",K67=""),"",SUMIFS($K$2:$K$301,$E$2:$E$301,E67,$F$2:$F$301,F67))</x:f>
        <x:v>6529421</x:v>
      </x:c>
      <x:c r="M67" s="308" t="n">
        <x:f>IFERROR(K67/L67,"")</x:f>
        <x:v>0.06655031127568585</x:v>
      </x:c>
      <x:c r="N67" s="235" t="str">
        <x:v>VERIFIED</x:v>
      </x:c>
      <x:c r="O67" s="297" t="str">
        <x:v>Tabel 69 halaman buku 103–104; angka tertimbang publik.</x:v>
      </x:c>
    </x:row>
    <x:row r="68">
      <x:c r="A68" s="293"/>
      <x:c r="B68" s="235"/>
      <x:c r="C68" s="235"/>
      <x:c r="D68" s="235"/>
      <x:c r="E68" s="235"/>
      <x:c r="F68" s="235"/>
      <x:c r="G68" s="294"/>
      <x:c r="H68" s="294"/>
      <x:c r="I68" s="235"/>
      <x:c r="J68" s="235"/>
      <x:c r="K68" s="306"/>
      <x:c r="L68" s="307" t="str">
        <x:f>IF(OR(E68="",F68="",K68=""),"",SUMIFS($K$2:$K$301,$E$2:$E$301,E68,$F$2:$F$301,F68))</x:f>
      </x:c>
      <x:c r="M68" s="308" t="str">
        <x:f>IFERROR(K68/L68,"")</x:f>
      </x:c>
      <x:c r="N68" s="235"/>
      <x:c r="O68" s="297"/>
    </x:row>
    <x:row r="69">
      <x:c r="A69" s="293"/>
      <x:c r="B69" s="235"/>
      <x:c r="C69" s="235"/>
      <x:c r="D69" s="235"/>
      <x:c r="E69" s="235"/>
      <x:c r="F69" s="235"/>
      <x:c r="G69" s="294"/>
      <x:c r="H69" s="294"/>
      <x:c r="I69" s="235"/>
      <x:c r="J69" s="235"/>
      <x:c r="K69" s="306"/>
      <x:c r="L69" s="307" t="str">
        <x:f>IF(OR(E69="",F69="",K69=""),"",SUMIFS($K$2:$K$301,$E$2:$E$301,E69,$F$2:$F$301,F69))</x:f>
      </x:c>
      <x:c r="M69" s="308" t="str">
        <x:f>IFERROR(K69/L69,"")</x:f>
      </x:c>
      <x:c r="N69" s="235"/>
      <x:c r="O69" s="297"/>
    </x:row>
    <x:row r="70">
      <x:c r="A70" s="293"/>
      <x:c r="B70" s="235"/>
      <x:c r="C70" s="235"/>
      <x:c r="D70" s="235"/>
      <x:c r="E70" s="235"/>
      <x:c r="F70" s="235"/>
      <x:c r="G70" s="294"/>
      <x:c r="H70" s="294"/>
      <x:c r="I70" s="235"/>
      <x:c r="J70" s="235"/>
      <x:c r="K70" s="306"/>
      <x:c r="L70" s="307" t="str">
        <x:f>IF(OR(E70="",F70="",K70=""),"",SUMIFS($K$2:$K$301,$E$2:$E$301,E70,$F$2:$F$301,F70))</x:f>
      </x:c>
      <x:c r="M70" s="308" t="str">
        <x:f>IFERROR(K70/L70,"")</x:f>
      </x:c>
      <x:c r="N70" s="235"/>
      <x:c r="O70" s="297"/>
    </x:row>
    <x:row r="71">
      <x:c r="A71" s="293"/>
      <x:c r="B71" s="235"/>
      <x:c r="C71" s="235"/>
      <x:c r="D71" s="235"/>
      <x:c r="E71" s="235"/>
      <x:c r="F71" s="235"/>
      <x:c r="G71" s="294"/>
      <x:c r="H71" s="294"/>
      <x:c r="I71" s="235"/>
      <x:c r="J71" s="235"/>
      <x:c r="K71" s="306"/>
      <x:c r="L71" s="307" t="str">
        <x:f>IF(OR(E71="",F71="",K71=""),"",SUMIFS($K$2:$K$301,$E$2:$E$301,E71,$F$2:$F$301,F71))</x:f>
      </x:c>
      <x:c r="M71" s="308" t="str">
        <x:f>IFERROR(K71/L71,"")</x:f>
      </x:c>
      <x:c r="N71" s="235"/>
      <x:c r="O71" s="297"/>
    </x:row>
    <x:row r="72">
      <x:c r="A72" s="293"/>
      <x:c r="B72" s="235"/>
      <x:c r="C72" s="235"/>
      <x:c r="D72" s="235"/>
      <x:c r="E72" s="235"/>
      <x:c r="F72" s="235"/>
      <x:c r="G72" s="294"/>
      <x:c r="H72" s="294"/>
      <x:c r="I72" s="235"/>
      <x:c r="J72" s="235"/>
      <x:c r="K72" s="306"/>
      <x:c r="L72" s="307" t="str">
        <x:f>IF(OR(E72="",F72="",K72=""),"",SUMIFS($K$2:$K$301,$E$2:$E$301,E72,$F$2:$F$301,F72))</x:f>
      </x:c>
      <x:c r="M72" s="308" t="str">
        <x:f>IFERROR(K72/L72,"")</x:f>
      </x:c>
      <x:c r="N72" s="235"/>
      <x:c r="O72" s="297"/>
    </x:row>
    <x:row r="73">
      <x:c r="A73" s="293"/>
      <x:c r="B73" s="235"/>
      <x:c r="C73" s="235"/>
      <x:c r="D73" s="235"/>
      <x:c r="E73" s="235"/>
      <x:c r="F73" s="235"/>
      <x:c r="G73" s="294"/>
      <x:c r="H73" s="294"/>
      <x:c r="I73" s="235"/>
      <x:c r="J73" s="235"/>
      <x:c r="K73" s="306"/>
      <x:c r="L73" s="307" t="str">
        <x:f>IF(OR(E73="",F73="",K73=""),"",SUMIFS($K$2:$K$301,$E$2:$E$301,E73,$F$2:$F$301,F73))</x:f>
      </x:c>
      <x:c r="M73" s="308" t="str">
        <x:f>IFERROR(K73/L73,"")</x:f>
      </x:c>
      <x:c r="N73" s="235"/>
      <x:c r="O73" s="297"/>
    </x:row>
    <x:row r="74">
      <x:c r="A74" s="293"/>
      <x:c r="B74" s="235"/>
      <x:c r="C74" s="235"/>
      <x:c r="D74" s="235"/>
      <x:c r="E74" s="235"/>
      <x:c r="F74" s="235"/>
      <x:c r="G74" s="294"/>
      <x:c r="H74" s="294"/>
      <x:c r="I74" s="235"/>
      <x:c r="J74" s="235"/>
      <x:c r="K74" s="306"/>
      <x:c r="L74" s="307" t="str">
        <x:f>IF(OR(E74="",F74="",K74=""),"",SUMIFS($K$2:$K$301,$E$2:$E$301,E74,$F$2:$F$301,F74))</x:f>
      </x:c>
      <x:c r="M74" s="308" t="str">
        <x:f>IFERROR(K74/L74,"")</x:f>
      </x:c>
      <x:c r="N74" s="235"/>
      <x:c r="O74" s="297"/>
    </x:row>
    <x:row r="75">
      <x:c r="A75" s="293"/>
      <x:c r="B75" s="235"/>
      <x:c r="C75" s="235"/>
      <x:c r="D75" s="235"/>
      <x:c r="E75" s="235"/>
      <x:c r="F75" s="235"/>
      <x:c r="G75" s="294"/>
      <x:c r="H75" s="294"/>
      <x:c r="I75" s="235"/>
      <x:c r="J75" s="235"/>
      <x:c r="K75" s="306"/>
      <x:c r="L75" s="307" t="str">
        <x:f>IF(OR(E75="",F75="",K75=""),"",SUMIFS($K$2:$K$301,$E$2:$E$301,E75,$F$2:$F$301,F75))</x:f>
      </x:c>
      <x:c r="M75" s="308" t="str">
        <x:f>IFERROR(K75/L75,"")</x:f>
      </x:c>
      <x:c r="N75" s="235"/>
      <x:c r="O75" s="297"/>
    </x:row>
    <x:row r="76">
      <x:c r="A76" s="293"/>
      <x:c r="B76" s="235"/>
      <x:c r="C76" s="235"/>
      <x:c r="D76" s="235"/>
      <x:c r="E76" s="235"/>
      <x:c r="F76" s="235"/>
      <x:c r="G76" s="294"/>
      <x:c r="H76" s="294"/>
      <x:c r="I76" s="235"/>
      <x:c r="J76" s="235"/>
      <x:c r="K76" s="306"/>
      <x:c r="L76" s="307" t="str">
        <x:f>IF(OR(E76="",F76="",K76=""),"",SUMIFS($K$2:$K$301,$E$2:$E$301,E76,$F$2:$F$301,F76))</x:f>
      </x:c>
      <x:c r="M76" s="308" t="str">
        <x:f>IFERROR(K76/L76,"")</x:f>
      </x:c>
      <x:c r="N76" s="235"/>
      <x:c r="O76" s="297"/>
    </x:row>
    <x:row r="77">
      <x:c r="A77" s="293"/>
      <x:c r="B77" s="235"/>
      <x:c r="C77" s="235"/>
      <x:c r="D77" s="235"/>
      <x:c r="E77" s="235"/>
      <x:c r="F77" s="235"/>
      <x:c r="G77" s="294"/>
      <x:c r="H77" s="294"/>
      <x:c r="I77" s="235"/>
      <x:c r="J77" s="235"/>
      <x:c r="K77" s="306"/>
      <x:c r="L77" s="307" t="str">
        <x:f>IF(OR(E77="",F77="",K77=""),"",SUMIFS($K$2:$K$301,$E$2:$E$301,E77,$F$2:$F$301,F77))</x:f>
      </x:c>
      <x:c r="M77" s="308" t="str">
        <x:f>IFERROR(K77/L77,"")</x:f>
      </x:c>
      <x:c r="N77" s="235"/>
      <x:c r="O77" s="297"/>
    </x:row>
    <x:row r="78">
      <x:c r="A78" s="293"/>
      <x:c r="B78" s="235"/>
      <x:c r="C78" s="235"/>
      <x:c r="D78" s="235"/>
      <x:c r="E78" s="235"/>
      <x:c r="F78" s="235"/>
      <x:c r="G78" s="294"/>
      <x:c r="H78" s="294"/>
      <x:c r="I78" s="235"/>
      <x:c r="J78" s="235"/>
      <x:c r="K78" s="306"/>
      <x:c r="L78" s="307" t="str">
        <x:f>IF(OR(E78="",F78="",K78=""),"",SUMIFS($K$2:$K$301,$E$2:$E$301,E78,$F$2:$F$301,F78))</x:f>
      </x:c>
      <x:c r="M78" s="308" t="str">
        <x:f>IFERROR(K78/L78,"")</x:f>
      </x:c>
      <x:c r="N78" s="235"/>
      <x:c r="O78" s="297"/>
    </x:row>
    <x:row r="79">
      <x:c r="A79" s="293"/>
      <x:c r="B79" s="235"/>
      <x:c r="C79" s="235"/>
      <x:c r="D79" s="235"/>
      <x:c r="E79" s="235"/>
      <x:c r="F79" s="235"/>
      <x:c r="G79" s="294"/>
      <x:c r="H79" s="294"/>
      <x:c r="I79" s="235"/>
      <x:c r="J79" s="235"/>
      <x:c r="K79" s="306"/>
      <x:c r="L79" s="307" t="str">
        <x:f>IF(OR(E79="",F79="",K79=""),"",SUMIFS($K$2:$K$301,$E$2:$E$301,E79,$F$2:$F$301,F79))</x:f>
      </x:c>
      <x:c r="M79" s="308" t="str">
        <x:f>IFERROR(K79/L79,"")</x:f>
      </x:c>
      <x:c r="N79" s="235"/>
      <x:c r="O79" s="297"/>
    </x:row>
    <x:row r="80">
      <x:c r="A80" s="293"/>
      <x:c r="B80" s="235"/>
      <x:c r="C80" s="235"/>
      <x:c r="D80" s="235"/>
      <x:c r="E80" s="235"/>
      <x:c r="F80" s="235"/>
      <x:c r="G80" s="294"/>
      <x:c r="H80" s="294"/>
      <x:c r="I80" s="235"/>
      <x:c r="J80" s="235"/>
      <x:c r="K80" s="306"/>
      <x:c r="L80" s="307" t="str">
        <x:f>IF(OR(E80="",F80="",K80=""),"",SUMIFS($K$2:$K$301,$E$2:$E$301,E80,$F$2:$F$301,F80))</x:f>
      </x:c>
      <x:c r="M80" s="308" t="str">
        <x:f>IFERROR(K80/L80,"")</x:f>
      </x:c>
      <x:c r="N80" s="235"/>
      <x:c r="O80" s="297"/>
    </x:row>
    <x:row r="81">
      <x:c r="A81" s="293"/>
      <x:c r="B81" s="235"/>
      <x:c r="C81" s="235"/>
      <x:c r="D81" s="235"/>
      <x:c r="E81" s="235"/>
      <x:c r="F81" s="235"/>
      <x:c r="G81" s="294"/>
      <x:c r="H81" s="294"/>
      <x:c r="I81" s="235"/>
      <x:c r="J81" s="235"/>
      <x:c r="K81" s="306"/>
      <x:c r="L81" s="307" t="str">
        <x:f>IF(OR(E81="",F81="",K81=""),"",SUMIFS($K$2:$K$301,$E$2:$E$301,E81,$F$2:$F$301,F81))</x:f>
      </x:c>
      <x:c r="M81" s="308" t="str">
        <x:f>IFERROR(K81/L81,"")</x:f>
      </x:c>
      <x:c r="N81" s="235"/>
      <x:c r="O81" s="297"/>
    </x:row>
    <x:row r="82">
      <x:c r="A82" s="293"/>
      <x:c r="B82" s="235"/>
      <x:c r="C82" s="235"/>
      <x:c r="D82" s="235"/>
      <x:c r="E82" s="235"/>
      <x:c r="F82" s="235"/>
      <x:c r="G82" s="294"/>
      <x:c r="H82" s="294"/>
      <x:c r="I82" s="235"/>
      <x:c r="J82" s="235"/>
      <x:c r="K82" s="306"/>
      <x:c r="L82" s="307" t="str">
        <x:f>IF(OR(E82="",F82="",K82=""),"",SUMIFS($K$2:$K$301,$E$2:$E$301,E82,$F$2:$F$301,F82))</x:f>
      </x:c>
      <x:c r="M82" s="308" t="str">
        <x:f>IFERROR(K82/L82,"")</x:f>
      </x:c>
      <x:c r="N82" s="235"/>
      <x:c r="O82" s="297"/>
    </x:row>
    <x:row r="83">
      <x:c r="A83" s="293"/>
      <x:c r="B83" s="235"/>
      <x:c r="C83" s="235"/>
      <x:c r="D83" s="235"/>
      <x:c r="E83" s="235"/>
      <x:c r="F83" s="235"/>
      <x:c r="G83" s="294"/>
      <x:c r="H83" s="294"/>
      <x:c r="I83" s="235"/>
      <x:c r="J83" s="235"/>
      <x:c r="K83" s="306"/>
      <x:c r="L83" s="307" t="str">
        <x:f>IF(OR(E83="",F83="",K83=""),"",SUMIFS($K$2:$K$301,$E$2:$E$301,E83,$F$2:$F$301,F83))</x:f>
      </x:c>
      <x:c r="M83" s="308" t="str">
        <x:f>IFERROR(K83/L83,"")</x:f>
      </x:c>
      <x:c r="N83" s="235"/>
      <x:c r="O83" s="297"/>
    </x:row>
    <x:row r="84">
      <x:c r="A84" s="293"/>
      <x:c r="B84" s="235"/>
      <x:c r="C84" s="235"/>
      <x:c r="D84" s="235"/>
      <x:c r="E84" s="235"/>
      <x:c r="F84" s="235"/>
      <x:c r="G84" s="294"/>
      <x:c r="H84" s="294"/>
      <x:c r="I84" s="235"/>
      <x:c r="J84" s="235"/>
      <x:c r="K84" s="306"/>
      <x:c r="L84" s="307" t="str">
        <x:f>IF(OR(E84="",F84="",K84=""),"",SUMIFS($K$2:$K$301,$E$2:$E$301,E84,$F$2:$F$301,F84))</x:f>
      </x:c>
      <x:c r="M84" s="308" t="str">
        <x:f>IFERROR(K84/L84,"")</x:f>
      </x:c>
      <x:c r="N84" s="235"/>
      <x:c r="O84" s="297"/>
    </x:row>
    <x:row r="85">
      <x:c r="A85" s="293"/>
      <x:c r="B85" s="235"/>
      <x:c r="C85" s="235"/>
      <x:c r="D85" s="235"/>
      <x:c r="E85" s="235"/>
      <x:c r="F85" s="235"/>
      <x:c r="G85" s="294"/>
      <x:c r="H85" s="294"/>
      <x:c r="I85" s="235"/>
      <x:c r="J85" s="235"/>
      <x:c r="K85" s="306"/>
      <x:c r="L85" s="307" t="str">
        <x:f>IF(OR(E85="",F85="",K85=""),"",SUMIFS($K$2:$K$301,$E$2:$E$301,E85,$F$2:$F$301,F85))</x:f>
      </x:c>
      <x:c r="M85" s="308" t="str">
        <x:f>IFERROR(K85/L85,"")</x:f>
      </x:c>
      <x:c r="N85" s="235"/>
      <x:c r="O85" s="297"/>
    </x:row>
    <x:row r="86">
      <x:c r="A86" s="293"/>
      <x:c r="B86" s="235"/>
      <x:c r="C86" s="235"/>
      <x:c r="D86" s="235"/>
      <x:c r="E86" s="235"/>
      <x:c r="F86" s="235"/>
      <x:c r="G86" s="294"/>
      <x:c r="H86" s="294"/>
      <x:c r="I86" s="235"/>
      <x:c r="J86" s="235"/>
      <x:c r="K86" s="306"/>
      <x:c r="L86" s="307" t="str">
        <x:f>IF(OR(E86="",F86="",K86=""),"",SUMIFS($K$2:$K$301,$E$2:$E$301,E86,$F$2:$F$301,F86))</x:f>
      </x:c>
      <x:c r="M86" s="308" t="str">
        <x:f>IFERROR(K86/L86,"")</x:f>
      </x:c>
      <x:c r="N86" s="235"/>
      <x:c r="O86" s="297"/>
    </x:row>
    <x:row r="87">
      <x:c r="A87" s="293"/>
      <x:c r="B87" s="235"/>
      <x:c r="C87" s="235"/>
      <x:c r="D87" s="235"/>
      <x:c r="E87" s="235"/>
      <x:c r="F87" s="235"/>
      <x:c r="G87" s="294"/>
      <x:c r="H87" s="294"/>
      <x:c r="I87" s="235"/>
      <x:c r="J87" s="235"/>
      <x:c r="K87" s="306"/>
      <x:c r="L87" s="307" t="str">
        <x:f>IF(OR(E87="",F87="",K87=""),"",SUMIFS($K$2:$K$301,$E$2:$E$301,E87,$F$2:$F$301,F87))</x:f>
      </x:c>
      <x:c r="M87" s="308" t="str">
        <x:f>IFERROR(K87/L87,"")</x:f>
      </x:c>
      <x:c r="N87" s="235"/>
      <x:c r="O87" s="297"/>
    </x:row>
    <x:row r="88">
      <x:c r="A88" s="293"/>
      <x:c r="B88" s="235"/>
      <x:c r="C88" s="235"/>
      <x:c r="D88" s="235"/>
      <x:c r="E88" s="235"/>
      <x:c r="F88" s="235"/>
      <x:c r="G88" s="294"/>
      <x:c r="H88" s="294"/>
      <x:c r="I88" s="235"/>
      <x:c r="J88" s="235"/>
      <x:c r="K88" s="306"/>
      <x:c r="L88" s="307" t="str">
        <x:f>IF(OR(E88="",F88="",K88=""),"",SUMIFS($K$2:$K$301,$E$2:$E$301,E88,$F$2:$F$301,F88))</x:f>
      </x:c>
      <x:c r="M88" s="308" t="str">
        <x:f>IFERROR(K88/L88,"")</x:f>
      </x:c>
      <x:c r="N88" s="235"/>
      <x:c r="O88" s="297"/>
    </x:row>
    <x:row r="89">
      <x:c r="A89" s="293"/>
      <x:c r="B89" s="235"/>
      <x:c r="C89" s="235"/>
      <x:c r="D89" s="235"/>
      <x:c r="E89" s="235"/>
      <x:c r="F89" s="235"/>
      <x:c r="G89" s="294"/>
      <x:c r="H89" s="294"/>
      <x:c r="I89" s="235"/>
      <x:c r="J89" s="235"/>
      <x:c r="K89" s="306"/>
      <x:c r="L89" s="307" t="str">
        <x:f>IF(OR(E89="",F89="",K89=""),"",SUMIFS($K$2:$K$301,$E$2:$E$301,E89,$F$2:$F$301,F89))</x:f>
      </x:c>
      <x:c r="M89" s="308" t="str">
        <x:f>IFERROR(K89/L89,"")</x:f>
      </x:c>
      <x:c r="N89" s="235"/>
      <x:c r="O89" s="297"/>
    </x:row>
    <x:row r="90">
      <x:c r="A90" s="293"/>
      <x:c r="B90" s="235"/>
      <x:c r="C90" s="235"/>
      <x:c r="D90" s="235"/>
      <x:c r="E90" s="235"/>
      <x:c r="F90" s="235"/>
      <x:c r="G90" s="294"/>
      <x:c r="H90" s="294"/>
      <x:c r="I90" s="235"/>
      <x:c r="J90" s="235"/>
      <x:c r="K90" s="306"/>
      <x:c r="L90" s="307" t="str">
        <x:f>IF(OR(E90="",F90="",K90=""),"",SUMIFS($K$2:$K$301,$E$2:$E$301,E90,$F$2:$F$301,F90))</x:f>
      </x:c>
      <x:c r="M90" s="308" t="str">
        <x:f>IFERROR(K90/L90,"")</x:f>
      </x:c>
      <x:c r="N90" s="235"/>
      <x:c r="O90" s="297"/>
    </x:row>
    <x:row r="91">
      <x:c r="A91" s="293"/>
      <x:c r="B91" s="235"/>
      <x:c r="C91" s="235"/>
      <x:c r="D91" s="235"/>
      <x:c r="E91" s="235"/>
      <x:c r="F91" s="235"/>
      <x:c r="G91" s="294"/>
      <x:c r="H91" s="294"/>
      <x:c r="I91" s="235"/>
      <x:c r="J91" s="235"/>
      <x:c r="K91" s="306"/>
      <x:c r="L91" s="307" t="str">
        <x:f>IF(OR(E91="",F91="",K91=""),"",SUMIFS($K$2:$K$301,$E$2:$E$301,E91,$F$2:$F$301,F91))</x:f>
      </x:c>
      <x:c r="M91" s="308" t="str">
        <x:f>IFERROR(K91/L91,"")</x:f>
      </x:c>
      <x:c r="N91" s="235"/>
      <x:c r="O91" s="297"/>
    </x:row>
    <x:row r="92">
      <x:c r="A92" s="293"/>
      <x:c r="B92" s="235"/>
      <x:c r="C92" s="235"/>
      <x:c r="D92" s="235"/>
      <x:c r="E92" s="235"/>
      <x:c r="F92" s="235"/>
      <x:c r="G92" s="294"/>
      <x:c r="H92" s="294"/>
      <x:c r="I92" s="235"/>
      <x:c r="J92" s="235"/>
      <x:c r="K92" s="306"/>
      <x:c r="L92" s="307" t="str">
        <x:f>IF(OR(E92="",F92="",K92=""),"",SUMIFS($K$2:$K$301,$E$2:$E$301,E92,$F$2:$F$301,F92))</x:f>
      </x:c>
      <x:c r="M92" s="308" t="str">
        <x:f>IFERROR(K92/L92,"")</x:f>
      </x:c>
      <x:c r="N92" s="235"/>
      <x:c r="O92" s="297"/>
    </x:row>
    <x:row r="93">
      <x:c r="A93" s="293"/>
      <x:c r="B93" s="235"/>
      <x:c r="C93" s="235"/>
      <x:c r="D93" s="235"/>
      <x:c r="E93" s="235"/>
      <x:c r="F93" s="235"/>
      <x:c r="G93" s="294"/>
      <x:c r="H93" s="294"/>
      <x:c r="I93" s="235"/>
      <x:c r="J93" s="235"/>
      <x:c r="K93" s="306"/>
      <x:c r="L93" s="307" t="str">
        <x:f>IF(OR(E93="",F93="",K93=""),"",SUMIFS($K$2:$K$301,$E$2:$E$301,E93,$F$2:$F$301,F93))</x:f>
      </x:c>
      <x:c r="M93" s="308" t="str">
        <x:f>IFERROR(K93/L93,"")</x:f>
      </x:c>
      <x:c r="N93" s="235"/>
      <x:c r="O93" s="297"/>
    </x:row>
    <x:row r="94">
      <x:c r="A94" s="293"/>
      <x:c r="B94" s="235"/>
      <x:c r="C94" s="235"/>
      <x:c r="D94" s="235"/>
      <x:c r="E94" s="235"/>
      <x:c r="F94" s="235"/>
      <x:c r="G94" s="294"/>
      <x:c r="H94" s="294"/>
      <x:c r="I94" s="235"/>
      <x:c r="J94" s="235"/>
      <x:c r="K94" s="306"/>
      <x:c r="L94" s="307" t="str">
        <x:f>IF(OR(E94="",F94="",K94=""),"",SUMIFS($K$2:$K$301,$E$2:$E$301,E94,$F$2:$F$301,F94))</x:f>
      </x:c>
      <x:c r="M94" s="308" t="str">
        <x:f>IFERROR(K94/L94,"")</x:f>
      </x:c>
      <x:c r="N94" s="235"/>
      <x:c r="O94" s="297"/>
    </x:row>
    <x:row r="95">
      <x:c r="A95" s="293"/>
      <x:c r="B95" s="235"/>
      <x:c r="C95" s="235"/>
      <x:c r="D95" s="235"/>
      <x:c r="E95" s="235"/>
      <x:c r="F95" s="235"/>
      <x:c r="G95" s="294"/>
      <x:c r="H95" s="294"/>
      <x:c r="I95" s="235"/>
      <x:c r="J95" s="235"/>
      <x:c r="K95" s="306"/>
      <x:c r="L95" s="307" t="str">
        <x:f>IF(OR(E95="",F95="",K95=""),"",SUMIFS($K$2:$K$301,$E$2:$E$301,E95,$F$2:$F$301,F95))</x:f>
      </x:c>
      <x:c r="M95" s="308" t="str">
        <x:f>IFERROR(K95/L95,"")</x:f>
      </x:c>
      <x:c r="N95" s="235"/>
      <x:c r="O95" s="297"/>
    </x:row>
    <x:row r="96">
      <x:c r="A96" s="293"/>
      <x:c r="B96" s="235"/>
      <x:c r="C96" s="235"/>
      <x:c r="D96" s="235"/>
      <x:c r="E96" s="235"/>
      <x:c r="F96" s="235"/>
      <x:c r="G96" s="294"/>
      <x:c r="H96" s="294"/>
      <x:c r="I96" s="235"/>
      <x:c r="J96" s="235"/>
      <x:c r="K96" s="306"/>
      <x:c r="L96" s="307" t="str">
        <x:f>IF(OR(E96="",F96="",K96=""),"",SUMIFS($K$2:$K$301,$E$2:$E$301,E96,$F$2:$F$301,F96))</x:f>
      </x:c>
      <x:c r="M96" s="308" t="str">
        <x:f>IFERROR(K96/L96,"")</x:f>
      </x:c>
      <x:c r="N96" s="235"/>
      <x:c r="O96" s="297"/>
    </x:row>
    <x:row r="97">
      <x:c r="A97" s="293"/>
      <x:c r="B97" s="235"/>
      <x:c r="C97" s="235"/>
      <x:c r="D97" s="235"/>
      <x:c r="E97" s="235"/>
      <x:c r="F97" s="235"/>
      <x:c r="G97" s="294"/>
      <x:c r="H97" s="294"/>
      <x:c r="I97" s="235"/>
      <x:c r="J97" s="235"/>
      <x:c r="K97" s="306"/>
      <x:c r="L97" s="307" t="str">
        <x:f>IF(OR(E97="",F97="",K97=""),"",SUMIFS($K$2:$K$301,$E$2:$E$301,E97,$F$2:$F$301,F97))</x:f>
      </x:c>
      <x:c r="M97" s="308" t="str">
        <x:f>IFERROR(K97/L97,"")</x:f>
      </x:c>
      <x:c r="N97" s="235"/>
      <x:c r="O97" s="297"/>
    </x:row>
    <x:row r="98">
      <x:c r="A98" s="293"/>
      <x:c r="B98" s="235"/>
      <x:c r="C98" s="235"/>
      <x:c r="D98" s="235"/>
      <x:c r="E98" s="235"/>
      <x:c r="F98" s="235"/>
      <x:c r="G98" s="294"/>
      <x:c r="H98" s="294"/>
      <x:c r="I98" s="235"/>
      <x:c r="J98" s="235"/>
      <x:c r="K98" s="306"/>
      <x:c r="L98" s="307" t="str">
        <x:f>IF(OR(E98="",F98="",K98=""),"",SUMIFS($K$2:$K$301,$E$2:$E$301,E98,$F$2:$F$301,F98))</x:f>
      </x:c>
      <x:c r="M98" s="308" t="str">
        <x:f>IFERROR(K98/L98,"")</x:f>
      </x:c>
      <x:c r="N98" s="235"/>
      <x:c r="O98" s="297"/>
    </x:row>
    <x:row r="99">
      <x:c r="A99" s="293"/>
      <x:c r="B99" s="235"/>
      <x:c r="C99" s="235"/>
      <x:c r="D99" s="235"/>
      <x:c r="E99" s="235"/>
      <x:c r="F99" s="235"/>
      <x:c r="G99" s="294"/>
      <x:c r="H99" s="294"/>
      <x:c r="I99" s="235"/>
      <x:c r="J99" s="235"/>
      <x:c r="K99" s="306"/>
      <x:c r="L99" s="307" t="str">
        <x:f>IF(OR(E99="",F99="",K99=""),"",SUMIFS($K$2:$K$301,$E$2:$E$301,E99,$F$2:$F$301,F99))</x:f>
      </x:c>
      <x:c r="M99" s="308" t="str">
        <x:f>IFERROR(K99/L99,"")</x:f>
      </x:c>
      <x:c r="N99" s="235"/>
      <x:c r="O99" s="297"/>
    </x:row>
    <x:row r="100">
      <x:c r="A100" s="293"/>
      <x:c r="B100" s="235"/>
      <x:c r="C100" s="235"/>
      <x:c r="D100" s="235"/>
      <x:c r="E100" s="235"/>
      <x:c r="F100" s="235"/>
      <x:c r="G100" s="294"/>
      <x:c r="H100" s="294"/>
      <x:c r="I100" s="235"/>
      <x:c r="J100" s="235"/>
      <x:c r="K100" s="306"/>
      <x:c r="L100" s="307" t="str">
        <x:f>IF(OR(E100="",F100="",K100=""),"",SUMIFS($K$2:$K$301,$E$2:$E$301,E100,$F$2:$F$301,F100))</x:f>
      </x:c>
      <x:c r="M100" s="308" t="str">
        <x:f>IFERROR(K100/L100,"")</x:f>
      </x:c>
      <x:c r="N100" s="235"/>
      <x:c r="O100" s="297"/>
    </x:row>
    <x:row r="101">
      <x:c r="A101" s="293"/>
      <x:c r="B101" s="235"/>
      <x:c r="C101" s="235"/>
      <x:c r="D101" s="235"/>
      <x:c r="E101" s="235"/>
      <x:c r="F101" s="235"/>
      <x:c r="G101" s="294"/>
      <x:c r="H101" s="294"/>
      <x:c r="I101" s="235"/>
      <x:c r="J101" s="235"/>
      <x:c r="K101" s="306"/>
      <x:c r="L101" s="307" t="str">
        <x:f>IF(OR(E101="",F101="",K101=""),"",SUMIFS($K$2:$K$301,$E$2:$E$301,E101,$F$2:$F$301,F101))</x:f>
      </x:c>
      <x:c r="M101" s="308" t="str">
        <x:f>IFERROR(K101/L101,"")</x:f>
      </x:c>
      <x:c r="N101" s="235"/>
      <x:c r="O101" s="297"/>
    </x:row>
    <x:row r="102">
      <x:c r="A102" s="293"/>
      <x:c r="B102" s="235"/>
      <x:c r="C102" s="235"/>
      <x:c r="D102" s="235"/>
      <x:c r="E102" s="235"/>
      <x:c r="F102" s="235"/>
      <x:c r="G102" s="294"/>
      <x:c r="H102" s="294"/>
      <x:c r="I102" s="235"/>
      <x:c r="J102" s="235"/>
      <x:c r="K102" s="306"/>
      <x:c r="L102" s="307" t="str">
        <x:f>IF(OR(E102="",F102="",K102=""),"",SUMIFS($K$2:$K$301,$E$2:$E$301,E102,$F$2:$F$301,F102))</x:f>
      </x:c>
      <x:c r="M102" s="308" t="str">
        <x:f>IFERROR(K102/L102,"")</x:f>
      </x:c>
      <x:c r="N102" s="235"/>
      <x:c r="O102" s="297"/>
    </x:row>
    <x:row r="103">
      <x:c r="A103" s="293"/>
      <x:c r="B103" s="235"/>
      <x:c r="C103" s="235"/>
      <x:c r="D103" s="235"/>
      <x:c r="E103" s="235"/>
      <x:c r="F103" s="235"/>
      <x:c r="G103" s="294"/>
      <x:c r="H103" s="294"/>
      <x:c r="I103" s="235"/>
      <x:c r="J103" s="235"/>
      <x:c r="K103" s="306"/>
      <x:c r="L103" s="307" t="str">
        <x:f>IF(OR(E103="",F103="",K103=""),"",SUMIFS($K$2:$K$301,$E$2:$E$301,E103,$F$2:$F$301,F103))</x:f>
      </x:c>
      <x:c r="M103" s="308" t="str">
        <x:f>IFERROR(K103/L103,"")</x:f>
      </x:c>
      <x:c r="N103" s="235"/>
      <x:c r="O103" s="297"/>
    </x:row>
    <x:row r="104">
      <x:c r="A104" s="293"/>
      <x:c r="B104" s="235"/>
      <x:c r="C104" s="235"/>
      <x:c r="D104" s="235"/>
      <x:c r="E104" s="235"/>
      <x:c r="F104" s="235"/>
      <x:c r="G104" s="294"/>
      <x:c r="H104" s="294"/>
      <x:c r="I104" s="235"/>
      <x:c r="J104" s="235"/>
      <x:c r="K104" s="306"/>
      <x:c r="L104" s="307" t="str">
        <x:f>IF(OR(E104="",F104="",K104=""),"",SUMIFS($K$2:$K$301,$E$2:$E$301,E104,$F$2:$F$301,F104))</x:f>
      </x:c>
      <x:c r="M104" s="308" t="str">
        <x:f>IFERROR(K104/L104,"")</x:f>
      </x:c>
      <x:c r="N104" s="235"/>
      <x:c r="O104" s="297"/>
    </x:row>
    <x:row r="105">
      <x:c r="A105" s="293"/>
      <x:c r="B105" s="235"/>
      <x:c r="C105" s="235"/>
      <x:c r="D105" s="235"/>
      <x:c r="E105" s="235"/>
      <x:c r="F105" s="235"/>
      <x:c r="G105" s="294"/>
      <x:c r="H105" s="294"/>
      <x:c r="I105" s="235"/>
      <x:c r="J105" s="235"/>
      <x:c r="K105" s="306"/>
      <x:c r="L105" s="307" t="str">
        <x:f>IF(OR(E105="",F105="",K105=""),"",SUMIFS($K$2:$K$301,$E$2:$E$301,E105,$F$2:$F$301,F105))</x:f>
      </x:c>
      <x:c r="M105" s="308" t="str">
        <x:f>IFERROR(K105/L105,"")</x:f>
      </x:c>
      <x:c r="N105" s="235"/>
      <x:c r="O105" s="297"/>
    </x:row>
    <x:row r="106">
      <x:c r="A106" s="293"/>
      <x:c r="B106" s="235"/>
      <x:c r="C106" s="235"/>
      <x:c r="D106" s="235"/>
      <x:c r="E106" s="235"/>
      <x:c r="F106" s="235"/>
      <x:c r="G106" s="294"/>
      <x:c r="H106" s="294"/>
      <x:c r="I106" s="235"/>
      <x:c r="J106" s="235"/>
      <x:c r="K106" s="306"/>
      <x:c r="L106" s="307" t="str">
        <x:f>IF(OR(E106="",F106="",K106=""),"",SUMIFS($K$2:$K$301,$E$2:$E$301,E106,$F$2:$F$301,F106))</x:f>
      </x:c>
      <x:c r="M106" s="308" t="str">
        <x:f>IFERROR(K106/L106,"")</x:f>
      </x:c>
      <x:c r="N106" s="235"/>
      <x:c r="O106" s="297"/>
    </x:row>
    <x:row r="107">
      <x:c r="A107" s="293"/>
      <x:c r="B107" s="235"/>
      <x:c r="C107" s="235"/>
      <x:c r="D107" s="235"/>
      <x:c r="E107" s="235"/>
      <x:c r="F107" s="235"/>
      <x:c r="G107" s="294"/>
      <x:c r="H107" s="294"/>
      <x:c r="I107" s="235"/>
      <x:c r="J107" s="235"/>
      <x:c r="K107" s="306"/>
      <x:c r="L107" s="307" t="str">
        <x:f>IF(OR(E107="",F107="",K107=""),"",SUMIFS($K$2:$K$301,$E$2:$E$301,E107,$F$2:$F$301,F107))</x:f>
      </x:c>
      <x:c r="M107" s="308" t="str">
        <x:f>IFERROR(K107/L107,"")</x:f>
      </x:c>
      <x:c r="N107" s="235"/>
      <x:c r="O107" s="297"/>
    </x:row>
    <x:row r="108">
      <x:c r="A108" s="293"/>
      <x:c r="B108" s="235"/>
      <x:c r="C108" s="235"/>
      <x:c r="D108" s="235"/>
      <x:c r="E108" s="235"/>
      <x:c r="F108" s="235"/>
      <x:c r="G108" s="294"/>
      <x:c r="H108" s="294"/>
      <x:c r="I108" s="235"/>
      <x:c r="J108" s="235"/>
      <x:c r="K108" s="306"/>
      <x:c r="L108" s="307" t="str">
        <x:f>IF(OR(E108="",F108="",K108=""),"",SUMIFS($K$2:$K$301,$E$2:$E$301,E108,$F$2:$F$301,F108))</x:f>
      </x:c>
      <x:c r="M108" s="308" t="str">
        <x:f>IFERROR(K108/L108,"")</x:f>
      </x:c>
      <x:c r="N108" s="235"/>
      <x:c r="O108" s="297"/>
    </x:row>
    <x:row r="109">
      <x:c r="A109" s="293"/>
      <x:c r="B109" s="235"/>
      <x:c r="C109" s="235"/>
      <x:c r="D109" s="235"/>
      <x:c r="E109" s="235"/>
      <x:c r="F109" s="235"/>
      <x:c r="G109" s="294"/>
      <x:c r="H109" s="294"/>
      <x:c r="I109" s="235"/>
      <x:c r="J109" s="235"/>
      <x:c r="K109" s="306"/>
      <x:c r="L109" s="307" t="str">
        <x:f>IF(OR(E109="",F109="",K109=""),"",SUMIFS($K$2:$K$301,$E$2:$E$301,E109,$F$2:$F$301,F109))</x:f>
      </x:c>
      <x:c r="M109" s="308" t="str">
        <x:f>IFERROR(K109/L109,"")</x:f>
      </x:c>
      <x:c r="N109" s="235"/>
      <x:c r="O109" s="297"/>
    </x:row>
    <x:row r="110">
      <x:c r="A110" s="293"/>
      <x:c r="B110" s="235"/>
      <x:c r="C110" s="235"/>
      <x:c r="D110" s="235"/>
      <x:c r="E110" s="235"/>
      <x:c r="F110" s="235"/>
      <x:c r="G110" s="294"/>
      <x:c r="H110" s="294"/>
      <x:c r="I110" s="235"/>
      <x:c r="J110" s="235"/>
      <x:c r="K110" s="306"/>
      <x:c r="L110" s="307" t="str">
        <x:f>IF(OR(E110="",F110="",K110=""),"",SUMIFS($K$2:$K$301,$E$2:$E$301,E110,$F$2:$F$301,F110))</x:f>
      </x:c>
      <x:c r="M110" s="308" t="str">
        <x:f>IFERROR(K110/L110,"")</x:f>
      </x:c>
      <x:c r="N110" s="235"/>
      <x:c r="O110" s="297"/>
    </x:row>
    <x:row r="111">
      <x:c r="A111" s="293"/>
      <x:c r="B111" s="235"/>
      <x:c r="C111" s="235"/>
      <x:c r="D111" s="235"/>
      <x:c r="E111" s="235"/>
      <x:c r="F111" s="235"/>
      <x:c r="G111" s="294"/>
      <x:c r="H111" s="294"/>
      <x:c r="I111" s="235"/>
      <x:c r="J111" s="235"/>
      <x:c r="K111" s="306"/>
      <x:c r="L111" s="307" t="str">
        <x:f>IF(OR(E111="",F111="",K111=""),"",SUMIFS($K$2:$K$301,$E$2:$E$301,E111,$F$2:$F$301,F111))</x:f>
      </x:c>
      <x:c r="M111" s="308" t="str">
        <x:f>IFERROR(K111/L111,"")</x:f>
      </x:c>
      <x:c r="N111" s="235"/>
      <x:c r="O111" s="297"/>
    </x:row>
    <x:row r="112">
      <x:c r="A112" s="293"/>
      <x:c r="B112" s="235"/>
      <x:c r="C112" s="235"/>
      <x:c r="D112" s="235"/>
      <x:c r="E112" s="235"/>
      <x:c r="F112" s="235"/>
      <x:c r="G112" s="294"/>
      <x:c r="H112" s="294"/>
      <x:c r="I112" s="235"/>
      <x:c r="J112" s="235"/>
      <x:c r="K112" s="306"/>
      <x:c r="L112" s="307" t="str">
        <x:f>IF(OR(E112="",F112="",K112=""),"",SUMIFS($K$2:$K$301,$E$2:$E$301,E112,$F$2:$F$301,F112))</x:f>
      </x:c>
      <x:c r="M112" s="308" t="str">
        <x:f>IFERROR(K112/L112,"")</x:f>
      </x:c>
      <x:c r="N112" s="235"/>
      <x:c r="O112" s="297"/>
    </x:row>
    <x:row r="113">
      <x:c r="A113" s="293"/>
      <x:c r="B113" s="235"/>
      <x:c r="C113" s="235"/>
      <x:c r="D113" s="235"/>
      <x:c r="E113" s="235"/>
      <x:c r="F113" s="235"/>
      <x:c r="G113" s="294"/>
      <x:c r="H113" s="294"/>
      <x:c r="I113" s="235"/>
      <x:c r="J113" s="235"/>
      <x:c r="K113" s="306"/>
      <x:c r="L113" s="307" t="str">
        <x:f>IF(OR(E113="",F113="",K113=""),"",SUMIFS($K$2:$K$301,$E$2:$E$301,E113,$F$2:$F$301,F113))</x:f>
      </x:c>
      <x:c r="M113" s="308" t="str">
        <x:f>IFERROR(K113/L113,"")</x:f>
      </x:c>
      <x:c r="N113" s="235"/>
      <x:c r="O113" s="297"/>
    </x:row>
    <x:row r="114">
      <x:c r="A114" s="293"/>
      <x:c r="B114" s="235"/>
      <x:c r="C114" s="235"/>
      <x:c r="D114" s="235"/>
      <x:c r="E114" s="235"/>
      <x:c r="F114" s="235"/>
      <x:c r="G114" s="294"/>
      <x:c r="H114" s="294"/>
      <x:c r="I114" s="235"/>
      <x:c r="J114" s="235"/>
      <x:c r="K114" s="306"/>
      <x:c r="L114" s="307" t="str">
        <x:f>IF(OR(E114="",F114="",K114=""),"",SUMIFS($K$2:$K$301,$E$2:$E$301,E114,$F$2:$F$301,F114))</x:f>
      </x:c>
      <x:c r="M114" s="308" t="str">
        <x:f>IFERROR(K114/L114,"")</x:f>
      </x:c>
      <x:c r="N114" s="235"/>
      <x:c r="O114" s="297"/>
    </x:row>
    <x:row r="115">
      <x:c r="A115" s="293"/>
      <x:c r="B115" s="235"/>
      <x:c r="C115" s="235"/>
      <x:c r="D115" s="235"/>
      <x:c r="E115" s="235"/>
      <x:c r="F115" s="235"/>
      <x:c r="G115" s="294"/>
      <x:c r="H115" s="294"/>
      <x:c r="I115" s="235"/>
      <x:c r="J115" s="235"/>
      <x:c r="K115" s="306"/>
      <x:c r="L115" s="307" t="str">
        <x:f>IF(OR(E115="",F115="",K115=""),"",SUMIFS($K$2:$K$301,$E$2:$E$301,E115,$F$2:$F$301,F115))</x:f>
      </x:c>
      <x:c r="M115" s="308" t="str">
        <x:f>IFERROR(K115/L115,"")</x:f>
      </x:c>
      <x:c r="N115" s="235"/>
      <x:c r="O115" s="297"/>
    </x:row>
    <x:row r="116">
      <x:c r="A116" s="293"/>
      <x:c r="B116" s="235"/>
      <x:c r="C116" s="235"/>
      <x:c r="D116" s="235"/>
      <x:c r="E116" s="235"/>
      <x:c r="F116" s="235"/>
      <x:c r="G116" s="294"/>
      <x:c r="H116" s="294"/>
      <x:c r="I116" s="235"/>
      <x:c r="J116" s="235"/>
      <x:c r="K116" s="306"/>
      <x:c r="L116" s="307" t="str">
        <x:f>IF(OR(E116="",F116="",K116=""),"",SUMIFS($K$2:$K$301,$E$2:$E$301,E116,$F$2:$F$301,F116))</x:f>
      </x:c>
      <x:c r="M116" s="308" t="str">
        <x:f>IFERROR(K116/L116,"")</x:f>
      </x:c>
      <x:c r="N116" s="235"/>
      <x:c r="O116" s="297"/>
    </x:row>
    <x:row r="117">
      <x:c r="A117" s="293"/>
      <x:c r="B117" s="235"/>
      <x:c r="C117" s="235"/>
      <x:c r="D117" s="235"/>
      <x:c r="E117" s="235"/>
      <x:c r="F117" s="235"/>
      <x:c r="G117" s="294"/>
      <x:c r="H117" s="294"/>
      <x:c r="I117" s="235"/>
      <x:c r="J117" s="235"/>
      <x:c r="K117" s="306"/>
      <x:c r="L117" s="307" t="str">
        <x:f>IF(OR(E117="",F117="",K117=""),"",SUMIFS($K$2:$K$301,$E$2:$E$301,E117,$F$2:$F$301,F117))</x:f>
      </x:c>
      <x:c r="M117" s="308" t="str">
        <x:f>IFERROR(K117/L117,"")</x:f>
      </x:c>
      <x:c r="N117" s="235"/>
      <x:c r="O117" s="297"/>
    </x:row>
    <x:row r="118">
      <x:c r="A118" s="293"/>
      <x:c r="B118" s="235"/>
      <x:c r="C118" s="235"/>
      <x:c r="D118" s="235"/>
      <x:c r="E118" s="235"/>
      <x:c r="F118" s="235"/>
      <x:c r="G118" s="294"/>
      <x:c r="H118" s="294"/>
      <x:c r="I118" s="235"/>
      <x:c r="J118" s="235"/>
      <x:c r="K118" s="306"/>
      <x:c r="L118" s="307" t="str">
        <x:f>IF(OR(E118="",F118="",K118=""),"",SUMIFS($K$2:$K$301,$E$2:$E$301,E118,$F$2:$F$301,F118))</x:f>
      </x:c>
      <x:c r="M118" s="308" t="str">
        <x:f>IFERROR(K118/L118,"")</x:f>
      </x:c>
      <x:c r="N118" s="235"/>
      <x:c r="O118" s="297"/>
    </x:row>
    <x:row r="119">
      <x:c r="A119" s="293"/>
      <x:c r="B119" s="235"/>
      <x:c r="C119" s="235"/>
      <x:c r="D119" s="235"/>
      <x:c r="E119" s="235"/>
      <x:c r="F119" s="235"/>
      <x:c r="G119" s="294"/>
      <x:c r="H119" s="294"/>
      <x:c r="I119" s="235"/>
      <x:c r="J119" s="235"/>
      <x:c r="K119" s="306"/>
      <x:c r="L119" s="307" t="str">
        <x:f>IF(OR(E119="",F119="",K119=""),"",SUMIFS($K$2:$K$301,$E$2:$E$301,E119,$F$2:$F$301,F119))</x:f>
      </x:c>
      <x:c r="M119" s="308" t="str">
        <x:f>IFERROR(K119/L119,"")</x:f>
      </x:c>
      <x:c r="N119" s="235"/>
      <x:c r="O119" s="297"/>
    </x:row>
    <x:row r="120">
      <x:c r="A120" s="293"/>
      <x:c r="B120" s="235"/>
      <x:c r="C120" s="235"/>
      <x:c r="D120" s="235"/>
      <x:c r="E120" s="235"/>
      <x:c r="F120" s="235"/>
      <x:c r="G120" s="294"/>
      <x:c r="H120" s="294"/>
      <x:c r="I120" s="235"/>
      <x:c r="J120" s="235"/>
      <x:c r="K120" s="306"/>
      <x:c r="L120" s="307" t="str">
        <x:f>IF(OR(E120="",F120="",K120=""),"",SUMIFS($K$2:$K$301,$E$2:$E$301,E120,$F$2:$F$301,F120))</x:f>
      </x:c>
      <x:c r="M120" s="308" t="str">
        <x:f>IFERROR(K120/L120,"")</x:f>
      </x:c>
      <x:c r="N120" s="235"/>
      <x:c r="O120" s="297"/>
    </x:row>
    <x:row r="121">
      <x:c r="A121" s="293"/>
      <x:c r="B121" s="235"/>
      <x:c r="C121" s="235"/>
      <x:c r="D121" s="235"/>
      <x:c r="E121" s="235"/>
      <x:c r="F121" s="235"/>
      <x:c r="G121" s="294"/>
      <x:c r="H121" s="294"/>
      <x:c r="I121" s="235"/>
      <x:c r="J121" s="235"/>
      <x:c r="K121" s="306"/>
      <x:c r="L121" s="307" t="str">
        <x:f>IF(OR(E121="",F121="",K121=""),"",SUMIFS($K$2:$K$301,$E$2:$E$301,E121,$F$2:$F$301,F121))</x:f>
      </x:c>
      <x:c r="M121" s="308" t="str">
        <x:f>IFERROR(K121/L121,"")</x:f>
      </x:c>
      <x:c r="N121" s="235"/>
      <x:c r="O121" s="297"/>
    </x:row>
    <x:row r="122">
      <x:c r="A122" s="293"/>
      <x:c r="B122" s="235"/>
      <x:c r="C122" s="235"/>
      <x:c r="D122" s="235"/>
      <x:c r="E122" s="235"/>
      <x:c r="F122" s="235"/>
      <x:c r="G122" s="294"/>
      <x:c r="H122" s="294"/>
      <x:c r="I122" s="235"/>
      <x:c r="J122" s="235"/>
      <x:c r="K122" s="306"/>
      <x:c r="L122" s="307" t="str">
        <x:f>IF(OR(E122="",F122="",K122=""),"",SUMIFS($K$2:$K$301,$E$2:$E$301,E122,$F$2:$F$301,F122))</x:f>
      </x:c>
      <x:c r="M122" s="308" t="str">
        <x:f>IFERROR(K122/L122,"")</x:f>
      </x:c>
      <x:c r="N122" s="235"/>
      <x:c r="O122" s="297"/>
    </x:row>
    <x:row r="123">
      <x:c r="A123" s="293"/>
      <x:c r="B123" s="235"/>
      <x:c r="C123" s="235"/>
      <x:c r="D123" s="235"/>
      <x:c r="E123" s="235"/>
      <x:c r="F123" s="235"/>
      <x:c r="G123" s="294"/>
      <x:c r="H123" s="294"/>
      <x:c r="I123" s="235"/>
      <x:c r="J123" s="235"/>
      <x:c r="K123" s="306"/>
      <x:c r="L123" s="307" t="str">
        <x:f>IF(OR(E123="",F123="",K123=""),"",SUMIFS($K$2:$K$301,$E$2:$E$301,E123,$F$2:$F$301,F123))</x:f>
      </x:c>
      <x:c r="M123" s="308" t="str">
        <x:f>IFERROR(K123/L123,"")</x:f>
      </x:c>
      <x:c r="N123" s="235"/>
      <x:c r="O123" s="297"/>
    </x:row>
    <x:row r="124">
      <x:c r="A124" s="293"/>
      <x:c r="B124" s="235"/>
      <x:c r="C124" s="235"/>
      <x:c r="D124" s="235"/>
      <x:c r="E124" s="235"/>
      <x:c r="F124" s="235"/>
      <x:c r="G124" s="294"/>
      <x:c r="H124" s="294"/>
      <x:c r="I124" s="235"/>
      <x:c r="J124" s="235"/>
      <x:c r="K124" s="306"/>
      <x:c r="L124" s="307" t="str">
        <x:f>IF(OR(E124="",F124="",K124=""),"",SUMIFS($K$2:$K$301,$E$2:$E$301,E124,$F$2:$F$301,F124))</x:f>
      </x:c>
      <x:c r="M124" s="308" t="str">
        <x:f>IFERROR(K124/L124,"")</x:f>
      </x:c>
      <x:c r="N124" s="235"/>
      <x:c r="O124" s="297"/>
    </x:row>
    <x:row r="125">
      <x:c r="A125" s="293"/>
      <x:c r="B125" s="235"/>
      <x:c r="C125" s="235"/>
      <x:c r="D125" s="235"/>
      <x:c r="E125" s="235"/>
      <x:c r="F125" s="235"/>
      <x:c r="G125" s="294"/>
      <x:c r="H125" s="294"/>
      <x:c r="I125" s="235"/>
      <x:c r="J125" s="235"/>
      <x:c r="K125" s="306"/>
      <x:c r="L125" s="307" t="str">
        <x:f>IF(OR(E125="",F125="",K125=""),"",SUMIFS($K$2:$K$301,$E$2:$E$301,E125,$F$2:$F$301,F125))</x:f>
      </x:c>
      <x:c r="M125" s="308" t="str">
        <x:f>IFERROR(K125/L125,"")</x:f>
      </x:c>
      <x:c r="N125" s="235"/>
      <x:c r="O125" s="297"/>
    </x:row>
    <x:row r="126">
      <x:c r="A126" s="293"/>
      <x:c r="B126" s="235"/>
      <x:c r="C126" s="235"/>
      <x:c r="D126" s="235"/>
      <x:c r="E126" s="235"/>
      <x:c r="F126" s="235"/>
      <x:c r="G126" s="294"/>
      <x:c r="H126" s="294"/>
      <x:c r="I126" s="235"/>
      <x:c r="J126" s="235"/>
      <x:c r="K126" s="306"/>
      <x:c r="L126" s="307" t="str">
        <x:f>IF(OR(E126="",F126="",K126=""),"",SUMIFS($K$2:$K$301,$E$2:$E$301,E126,$F$2:$F$301,F126))</x:f>
      </x:c>
      <x:c r="M126" s="308" t="str">
        <x:f>IFERROR(K126/L126,"")</x:f>
      </x:c>
      <x:c r="N126" s="235"/>
      <x:c r="O126" s="297"/>
    </x:row>
    <x:row r="127">
      <x:c r="A127" s="293"/>
      <x:c r="B127" s="235"/>
      <x:c r="C127" s="235"/>
      <x:c r="D127" s="235"/>
      <x:c r="E127" s="235"/>
      <x:c r="F127" s="235"/>
      <x:c r="G127" s="294"/>
      <x:c r="H127" s="294"/>
      <x:c r="I127" s="235"/>
      <x:c r="J127" s="235"/>
      <x:c r="K127" s="306"/>
      <x:c r="L127" s="307" t="str">
        <x:f>IF(OR(E127="",F127="",K127=""),"",SUMIFS($K$2:$K$301,$E$2:$E$301,E127,$F$2:$F$301,F127))</x:f>
      </x:c>
      <x:c r="M127" s="308" t="str">
        <x:f>IFERROR(K127/L127,"")</x:f>
      </x:c>
      <x:c r="N127" s="235"/>
      <x:c r="O127" s="297"/>
    </x:row>
    <x:row r="128">
      <x:c r="A128" s="293"/>
      <x:c r="B128" s="235"/>
      <x:c r="C128" s="235"/>
      <x:c r="D128" s="235"/>
      <x:c r="E128" s="235"/>
      <x:c r="F128" s="235"/>
      <x:c r="G128" s="294"/>
      <x:c r="H128" s="294"/>
      <x:c r="I128" s="235"/>
      <x:c r="J128" s="235"/>
      <x:c r="K128" s="306"/>
      <x:c r="L128" s="307" t="str">
        <x:f>IF(OR(E128="",F128="",K128=""),"",SUMIFS($K$2:$K$301,$E$2:$E$301,E128,$F$2:$F$301,F128))</x:f>
      </x:c>
      <x:c r="M128" s="308" t="str">
        <x:f>IFERROR(K128/L128,"")</x:f>
      </x:c>
      <x:c r="N128" s="235"/>
      <x:c r="O128" s="297"/>
    </x:row>
    <x:row r="129">
      <x:c r="A129" s="293"/>
      <x:c r="B129" s="235"/>
      <x:c r="C129" s="235"/>
      <x:c r="D129" s="235"/>
      <x:c r="E129" s="235"/>
      <x:c r="F129" s="235"/>
      <x:c r="G129" s="294"/>
      <x:c r="H129" s="294"/>
      <x:c r="I129" s="235"/>
      <x:c r="J129" s="235"/>
      <x:c r="K129" s="306"/>
      <x:c r="L129" s="307" t="str">
        <x:f>IF(OR(E129="",F129="",K129=""),"",SUMIFS($K$2:$K$301,$E$2:$E$301,E129,$F$2:$F$301,F129))</x:f>
      </x:c>
      <x:c r="M129" s="308" t="str">
        <x:f>IFERROR(K129/L129,"")</x:f>
      </x:c>
      <x:c r="N129" s="235"/>
      <x:c r="O129" s="297"/>
    </x:row>
    <x:row r="130">
      <x:c r="A130" s="293"/>
      <x:c r="B130" s="235"/>
      <x:c r="C130" s="235"/>
      <x:c r="D130" s="235"/>
      <x:c r="E130" s="235"/>
      <x:c r="F130" s="235"/>
      <x:c r="G130" s="294"/>
      <x:c r="H130" s="294"/>
      <x:c r="I130" s="235"/>
      <x:c r="J130" s="235"/>
      <x:c r="K130" s="306"/>
      <x:c r="L130" s="307" t="str">
        <x:f>IF(OR(E130="",F130="",K130=""),"",SUMIFS($K$2:$K$301,$E$2:$E$301,E130,$F$2:$F$301,F130))</x:f>
      </x:c>
      <x:c r="M130" s="308" t="str">
        <x:f>IFERROR(K130/L130,"")</x:f>
      </x:c>
      <x:c r="N130" s="235"/>
      <x:c r="O130" s="297"/>
    </x:row>
    <x:row r="131">
      <x:c r="A131" s="293"/>
      <x:c r="B131" s="235"/>
      <x:c r="C131" s="235"/>
      <x:c r="D131" s="235"/>
      <x:c r="E131" s="235"/>
      <x:c r="F131" s="235"/>
      <x:c r="G131" s="294"/>
      <x:c r="H131" s="294"/>
      <x:c r="I131" s="235"/>
      <x:c r="J131" s="235"/>
      <x:c r="K131" s="306"/>
      <x:c r="L131" s="307" t="str">
        <x:f>IF(OR(E131="",F131="",K131=""),"",SUMIFS($K$2:$K$301,$E$2:$E$301,E131,$F$2:$F$301,F131))</x:f>
      </x:c>
      <x:c r="M131" s="308" t="str">
        <x:f>IFERROR(K131/L131,"")</x:f>
      </x:c>
      <x:c r="N131" s="235"/>
      <x:c r="O131" s="297"/>
    </x:row>
    <x:row r="132">
      <x:c r="A132" s="293"/>
      <x:c r="B132" s="235"/>
      <x:c r="C132" s="235"/>
      <x:c r="D132" s="235"/>
      <x:c r="E132" s="235"/>
      <x:c r="F132" s="235"/>
      <x:c r="G132" s="294"/>
      <x:c r="H132" s="294"/>
      <x:c r="I132" s="235"/>
      <x:c r="J132" s="235"/>
      <x:c r="K132" s="306"/>
      <x:c r="L132" s="307" t="str">
        <x:f>IF(OR(E132="",F132="",K132=""),"",SUMIFS($K$2:$K$301,$E$2:$E$301,E132,$F$2:$F$301,F132))</x:f>
      </x:c>
      <x:c r="M132" s="308" t="str">
        <x:f>IFERROR(K132/L132,"")</x:f>
      </x:c>
      <x:c r="N132" s="235"/>
      <x:c r="O132" s="297"/>
    </x:row>
    <x:row r="133">
      <x:c r="A133" s="293"/>
      <x:c r="B133" s="235"/>
      <x:c r="C133" s="235"/>
      <x:c r="D133" s="235"/>
      <x:c r="E133" s="235"/>
      <x:c r="F133" s="235"/>
      <x:c r="G133" s="294"/>
      <x:c r="H133" s="294"/>
      <x:c r="I133" s="235"/>
      <x:c r="J133" s="235"/>
      <x:c r="K133" s="306"/>
      <x:c r="L133" s="307" t="str">
        <x:f>IF(OR(E133="",F133="",K133=""),"",SUMIFS($K$2:$K$301,$E$2:$E$301,E133,$F$2:$F$301,F133))</x:f>
      </x:c>
      <x:c r="M133" s="308" t="str">
        <x:f>IFERROR(K133/L133,"")</x:f>
      </x:c>
      <x:c r="N133" s="235"/>
      <x:c r="O133" s="297"/>
    </x:row>
    <x:row r="134">
      <x:c r="A134" s="293"/>
      <x:c r="B134" s="235"/>
      <x:c r="C134" s="235"/>
      <x:c r="D134" s="235"/>
      <x:c r="E134" s="235"/>
      <x:c r="F134" s="235"/>
      <x:c r="G134" s="294"/>
      <x:c r="H134" s="294"/>
      <x:c r="I134" s="235"/>
      <x:c r="J134" s="235"/>
      <x:c r="K134" s="306"/>
      <x:c r="L134" s="307" t="str">
        <x:f>IF(OR(E134="",F134="",K134=""),"",SUMIFS($K$2:$K$301,$E$2:$E$301,E134,$F$2:$F$301,F134))</x:f>
      </x:c>
      <x:c r="M134" s="308" t="str">
        <x:f>IFERROR(K134/L134,"")</x:f>
      </x:c>
      <x:c r="N134" s="235"/>
      <x:c r="O134" s="297"/>
    </x:row>
    <x:row r="135">
      <x:c r="A135" s="293"/>
      <x:c r="B135" s="235"/>
      <x:c r="C135" s="235"/>
      <x:c r="D135" s="235"/>
      <x:c r="E135" s="235"/>
      <x:c r="F135" s="235"/>
      <x:c r="G135" s="294"/>
      <x:c r="H135" s="294"/>
      <x:c r="I135" s="235"/>
      <x:c r="J135" s="235"/>
      <x:c r="K135" s="306"/>
      <x:c r="L135" s="307" t="str">
        <x:f>IF(OR(E135="",F135="",K135=""),"",SUMIFS($K$2:$K$301,$E$2:$E$301,E135,$F$2:$F$301,F135))</x:f>
      </x:c>
      <x:c r="M135" s="308" t="str">
        <x:f>IFERROR(K135/L135,"")</x:f>
      </x:c>
      <x:c r="N135" s="235"/>
      <x:c r="O135" s="297"/>
    </x:row>
    <x:row r="136">
      <x:c r="A136" s="293"/>
      <x:c r="B136" s="235"/>
      <x:c r="C136" s="235"/>
      <x:c r="D136" s="235"/>
      <x:c r="E136" s="235"/>
      <x:c r="F136" s="235"/>
      <x:c r="G136" s="294"/>
      <x:c r="H136" s="294"/>
      <x:c r="I136" s="235"/>
      <x:c r="J136" s="235"/>
      <x:c r="K136" s="306"/>
      <x:c r="L136" s="307" t="str">
        <x:f>IF(OR(E136="",F136="",K136=""),"",SUMIFS($K$2:$K$301,$E$2:$E$301,E136,$F$2:$F$301,F136))</x:f>
      </x:c>
      <x:c r="M136" s="308" t="str">
        <x:f>IFERROR(K136/L136,"")</x:f>
      </x:c>
      <x:c r="N136" s="235"/>
      <x:c r="O136" s="297"/>
    </x:row>
    <x:row r="137">
      <x:c r="A137" s="293"/>
      <x:c r="B137" s="235"/>
      <x:c r="C137" s="235"/>
      <x:c r="D137" s="235"/>
      <x:c r="E137" s="235"/>
      <x:c r="F137" s="235"/>
      <x:c r="G137" s="294"/>
      <x:c r="H137" s="294"/>
      <x:c r="I137" s="235"/>
      <x:c r="J137" s="235"/>
      <x:c r="K137" s="306"/>
      <x:c r="L137" s="307" t="str">
        <x:f>IF(OR(E137="",F137="",K137=""),"",SUMIFS($K$2:$K$301,$E$2:$E$301,E137,$F$2:$F$301,F137))</x:f>
      </x:c>
      <x:c r="M137" s="308" t="str">
        <x:f>IFERROR(K137/L137,"")</x:f>
      </x:c>
      <x:c r="N137" s="235"/>
      <x:c r="O137" s="297"/>
    </x:row>
    <x:row r="138">
      <x:c r="A138" s="293"/>
      <x:c r="B138" s="235"/>
      <x:c r="C138" s="235"/>
      <x:c r="D138" s="235"/>
      <x:c r="E138" s="235"/>
      <x:c r="F138" s="235"/>
      <x:c r="G138" s="294"/>
      <x:c r="H138" s="294"/>
      <x:c r="I138" s="235"/>
      <x:c r="J138" s="235"/>
      <x:c r="K138" s="306"/>
      <x:c r="L138" s="307" t="str">
        <x:f>IF(OR(E138="",F138="",K138=""),"",SUMIFS($K$2:$K$301,$E$2:$E$301,E138,$F$2:$F$301,F138))</x:f>
      </x:c>
      <x:c r="M138" s="308" t="str">
        <x:f>IFERROR(K138/L138,"")</x:f>
      </x:c>
      <x:c r="N138" s="235"/>
      <x:c r="O138" s="297"/>
    </x:row>
    <x:row r="139">
      <x:c r="A139" s="293"/>
      <x:c r="B139" s="235"/>
      <x:c r="C139" s="235"/>
      <x:c r="D139" s="235"/>
      <x:c r="E139" s="235"/>
      <x:c r="F139" s="235"/>
      <x:c r="G139" s="294"/>
      <x:c r="H139" s="294"/>
      <x:c r="I139" s="235"/>
      <x:c r="J139" s="235"/>
      <x:c r="K139" s="306"/>
      <x:c r="L139" s="307" t="str">
        <x:f>IF(OR(E139="",F139="",K139=""),"",SUMIFS($K$2:$K$301,$E$2:$E$301,E139,$F$2:$F$301,F139))</x:f>
      </x:c>
      <x:c r="M139" s="308" t="str">
        <x:f>IFERROR(K139/L139,"")</x:f>
      </x:c>
      <x:c r="N139" s="235"/>
      <x:c r="O139" s="297"/>
    </x:row>
    <x:row r="140">
      <x:c r="A140" s="293"/>
      <x:c r="B140" s="235"/>
      <x:c r="C140" s="235"/>
      <x:c r="D140" s="235"/>
      <x:c r="E140" s="235"/>
      <x:c r="F140" s="235"/>
      <x:c r="G140" s="294"/>
      <x:c r="H140" s="294"/>
      <x:c r="I140" s="235"/>
      <x:c r="J140" s="235"/>
      <x:c r="K140" s="306"/>
      <x:c r="L140" s="307" t="str">
        <x:f>IF(OR(E140="",F140="",K140=""),"",SUMIFS($K$2:$K$301,$E$2:$E$301,E140,$F$2:$F$301,F140))</x:f>
      </x:c>
      <x:c r="M140" s="308" t="str">
        <x:f>IFERROR(K140/L140,"")</x:f>
      </x:c>
      <x:c r="N140" s="235"/>
      <x:c r="O140" s="297"/>
    </x:row>
    <x:row r="141">
      <x:c r="A141" s="293"/>
      <x:c r="B141" s="235"/>
      <x:c r="C141" s="235"/>
      <x:c r="D141" s="235"/>
      <x:c r="E141" s="235"/>
      <x:c r="F141" s="235"/>
      <x:c r="G141" s="294"/>
      <x:c r="H141" s="294"/>
      <x:c r="I141" s="235"/>
      <x:c r="J141" s="235"/>
      <x:c r="K141" s="306"/>
      <x:c r="L141" s="307" t="str">
        <x:f>IF(OR(E141="",F141="",K141=""),"",SUMIFS($K$2:$K$301,$E$2:$E$301,E141,$F$2:$F$301,F141))</x:f>
      </x:c>
      <x:c r="M141" s="308" t="str">
        <x:f>IFERROR(K141/L141,"")</x:f>
      </x:c>
      <x:c r="N141" s="235"/>
      <x:c r="O141" s="297"/>
    </x:row>
    <x:row r="142">
      <x:c r="A142" s="293"/>
      <x:c r="B142" s="235"/>
      <x:c r="C142" s="235"/>
      <x:c r="D142" s="235"/>
      <x:c r="E142" s="235"/>
      <x:c r="F142" s="235"/>
      <x:c r="G142" s="294"/>
      <x:c r="H142" s="294"/>
      <x:c r="I142" s="235"/>
      <x:c r="J142" s="235"/>
      <x:c r="K142" s="306"/>
      <x:c r="L142" s="307" t="str">
        <x:f>IF(OR(E142="",F142="",K142=""),"",SUMIFS($K$2:$K$301,$E$2:$E$301,E142,$F$2:$F$301,F142))</x:f>
      </x:c>
      <x:c r="M142" s="308" t="str">
        <x:f>IFERROR(K142/L142,"")</x:f>
      </x:c>
      <x:c r="N142" s="235"/>
      <x:c r="O142" s="297"/>
    </x:row>
    <x:row r="143">
      <x:c r="A143" s="293"/>
      <x:c r="B143" s="235"/>
      <x:c r="C143" s="235"/>
      <x:c r="D143" s="235"/>
      <x:c r="E143" s="235"/>
      <x:c r="F143" s="235"/>
      <x:c r="G143" s="294"/>
      <x:c r="H143" s="294"/>
      <x:c r="I143" s="235"/>
      <x:c r="J143" s="235"/>
      <x:c r="K143" s="306"/>
      <x:c r="L143" s="307" t="str">
        <x:f>IF(OR(E143="",F143="",K143=""),"",SUMIFS($K$2:$K$301,$E$2:$E$301,E143,$F$2:$F$301,F143))</x:f>
      </x:c>
      <x:c r="M143" s="308" t="str">
        <x:f>IFERROR(K143/L143,"")</x:f>
      </x:c>
      <x:c r="N143" s="235"/>
      <x:c r="O143" s="297"/>
    </x:row>
    <x:row r="144">
      <x:c r="A144" s="293"/>
      <x:c r="B144" s="235"/>
      <x:c r="C144" s="235"/>
      <x:c r="D144" s="235"/>
      <x:c r="E144" s="235"/>
      <x:c r="F144" s="235"/>
      <x:c r="G144" s="294"/>
      <x:c r="H144" s="294"/>
      <x:c r="I144" s="235"/>
      <x:c r="J144" s="235"/>
      <x:c r="K144" s="306"/>
      <x:c r="L144" s="307" t="str">
        <x:f>IF(OR(E144="",F144="",K144=""),"",SUMIFS($K$2:$K$301,$E$2:$E$301,E144,$F$2:$F$301,F144))</x:f>
      </x:c>
      <x:c r="M144" s="308" t="str">
        <x:f>IFERROR(K144/L144,"")</x:f>
      </x:c>
      <x:c r="N144" s="235"/>
      <x:c r="O144" s="297"/>
    </x:row>
    <x:row r="145">
      <x:c r="A145" s="293"/>
      <x:c r="B145" s="235"/>
      <x:c r="C145" s="235"/>
      <x:c r="D145" s="235"/>
      <x:c r="E145" s="235"/>
      <x:c r="F145" s="235"/>
      <x:c r="G145" s="294"/>
      <x:c r="H145" s="294"/>
      <x:c r="I145" s="235"/>
      <x:c r="J145" s="235"/>
      <x:c r="K145" s="306"/>
      <x:c r="L145" s="307" t="str">
        <x:f>IF(OR(E145="",F145="",K145=""),"",SUMIFS($K$2:$K$301,$E$2:$E$301,E145,$F$2:$F$301,F145))</x:f>
      </x:c>
      <x:c r="M145" s="308" t="str">
        <x:f>IFERROR(K145/L145,"")</x:f>
      </x:c>
      <x:c r="N145" s="235"/>
      <x:c r="O145" s="297"/>
    </x:row>
    <x:row r="146">
      <x:c r="A146" s="293"/>
      <x:c r="B146" s="235"/>
      <x:c r="C146" s="235"/>
      <x:c r="D146" s="235"/>
      <x:c r="E146" s="235"/>
      <x:c r="F146" s="235"/>
      <x:c r="G146" s="294"/>
      <x:c r="H146" s="294"/>
      <x:c r="I146" s="235"/>
      <x:c r="J146" s="235"/>
      <x:c r="K146" s="306"/>
      <x:c r="L146" s="307" t="str">
        <x:f>IF(OR(E146="",F146="",K146=""),"",SUMIFS($K$2:$K$301,$E$2:$E$301,E146,$F$2:$F$301,F146))</x:f>
      </x:c>
      <x:c r="M146" s="308" t="str">
        <x:f>IFERROR(K146/L146,"")</x:f>
      </x:c>
      <x:c r="N146" s="235"/>
      <x:c r="O146" s="297"/>
    </x:row>
    <x:row r="147">
      <x:c r="A147" s="293"/>
      <x:c r="B147" s="235"/>
      <x:c r="C147" s="235"/>
      <x:c r="D147" s="235"/>
      <x:c r="E147" s="235"/>
      <x:c r="F147" s="235"/>
      <x:c r="G147" s="294"/>
      <x:c r="H147" s="294"/>
      <x:c r="I147" s="235"/>
      <x:c r="J147" s="235"/>
      <x:c r="K147" s="306"/>
      <x:c r="L147" s="307" t="str">
        <x:f>IF(OR(E147="",F147="",K147=""),"",SUMIFS($K$2:$K$301,$E$2:$E$301,E147,$F$2:$F$301,F147))</x:f>
      </x:c>
      <x:c r="M147" s="308" t="str">
        <x:f>IFERROR(K147/L147,"")</x:f>
      </x:c>
      <x:c r="N147" s="235"/>
      <x:c r="O147" s="297"/>
    </x:row>
    <x:row r="148">
      <x:c r="A148" s="293"/>
      <x:c r="B148" s="235"/>
      <x:c r="C148" s="235"/>
      <x:c r="D148" s="235"/>
      <x:c r="E148" s="235"/>
      <x:c r="F148" s="235"/>
      <x:c r="G148" s="294"/>
      <x:c r="H148" s="294"/>
      <x:c r="I148" s="235"/>
      <x:c r="J148" s="235"/>
      <x:c r="K148" s="306"/>
      <x:c r="L148" s="307" t="str">
        <x:f>IF(OR(E148="",F148="",K148=""),"",SUMIFS($K$2:$K$301,$E$2:$E$301,E148,$F$2:$F$301,F148))</x:f>
      </x:c>
      <x:c r="M148" s="308" t="str">
        <x:f>IFERROR(K148/L148,"")</x:f>
      </x:c>
      <x:c r="N148" s="235"/>
      <x:c r="O148" s="297"/>
    </x:row>
    <x:row r="149">
      <x:c r="A149" s="293"/>
      <x:c r="B149" s="235"/>
      <x:c r="C149" s="235"/>
      <x:c r="D149" s="235"/>
      <x:c r="E149" s="235"/>
      <x:c r="F149" s="235"/>
      <x:c r="G149" s="294"/>
      <x:c r="H149" s="294"/>
      <x:c r="I149" s="235"/>
      <x:c r="J149" s="235"/>
      <x:c r="K149" s="306"/>
      <x:c r="L149" s="307" t="str">
        <x:f>IF(OR(E149="",F149="",K149=""),"",SUMIFS($K$2:$K$301,$E$2:$E$301,E149,$F$2:$F$301,F149))</x:f>
      </x:c>
      <x:c r="M149" s="308" t="str">
        <x:f>IFERROR(K149/L149,"")</x:f>
      </x:c>
      <x:c r="N149" s="235"/>
      <x:c r="O149" s="297"/>
    </x:row>
    <x:row r="150">
      <x:c r="A150" s="293"/>
      <x:c r="B150" s="235"/>
      <x:c r="C150" s="235"/>
      <x:c r="D150" s="235"/>
      <x:c r="E150" s="235"/>
      <x:c r="F150" s="235"/>
      <x:c r="G150" s="294"/>
      <x:c r="H150" s="294"/>
      <x:c r="I150" s="235"/>
      <x:c r="J150" s="235"/>
      <x:c r="K150" s="306"/>
      <x:c r="L150" s="307" t="str">
        <x:f>IF(OR(E150="",F150="",K150=""),"",SUMIFS($K$2:$K$301,$E$2:$E$301,E150,$F$2:$F$301,F150))</x:f>
      </x:c>
      <x:c r="M150" s="308" t="str">
        <x:f>IFERROR(K150/L150,"")</x:f>
      </x:c>
      <x:c r="N150" s="235"/>
      <x:c r="O150" s="297"/>
    </x:row>
    <x:row r="151">
      <x:c r="A151" s="293"/>
      <x:c r="B151" s="235"/>
      <x:c r="C151" s="235"/>
      <x:c r="D151" s="235"/>
      <x:c r="E151" s="235"/>
      <x:c r="F151" s="235"/>
      <x:c r="G151" s="294"/>
      <x:c r="H151" s="294"/>
      <x:c r="I151" s="235"/>
      <x:c r="J151" s="235"/>
      <x:c r="K151" s="306"/>
      <x:c r="L151" s="307" t="str">
        <x:f>IF(OR(E151="",F151="",K151=""),"",SUMIFS($K$2:$K$301,$E$2:$E$301,E151,$F$2:$F$301,F151))</x:f>
      </x:c>
      <x:c r="M151" s="308" t="str">
        <x:f>IFERROR(K151/L151,"")</x:f>
      </x:c>
      <x:c r="N151" s="235"/>
      <x:c r="O151" s="297"/>
    </x:row>
    <x:row r="152">
      <x:c r="A152" s="293"/>
      <x:c r="B152" s="235"/>
      <x:c r="C152" s="235"/>
      <x:c r="D152" s="235"/>
      <x:c r="E152" s="235"/>
      <x:c r="F152" s="235"/>
      <x:c r="G152" s="294"/>
      <x:c r="H152" s="294"/>
      <x:c r="I152" s="235"/>
      <x:c r="J152" s="235"/>
      <x:c r="K152" s="306"/>
      <x:c r="L152" s="307" t="str">
        <x:f>IF(OR(E152="",F152="",K152=""),"",SUMIFS($K$2:$K$301,$E$2:$E$301,E152,$F$2:$F$301,F152))</x:f>
      </x:c>
      <x:c r="M152" s="308" t="str">
        <x:f>IFERROR(K152/L152,"")</x:f>
      </x:c>
      <x:c r="N152" s="235"/>
      <x:c r="O152" s="297"/>
    </x:row>
    <x:row r="153">
      <x:c r="A153" s="293"/>
      <x:c r="B153" s="235"/>
      <x:c r="C153" s="235"/>
      <x:c r="D153" s="235"/>
      <x:c r="E153" s="235"/>
      <x:c r="F153" s="235"/>
      <x:c r="G153" s="294"/>
      <x:c r="H153" s="294"/>
      <x:c r="I153" s="235"/>
      <x:c r="J153" s="235"/>
      <x:c r="K153" s="306"/>
      <x:c r="L153" s="307" t="str">
        <x:f>IF(OR(E153="",F153="",K153=""),"",SUMIFS($K$2:$K$301,$E$2:$E$301,E153,$F$2:$F$301,F153))</x:f>
      </x:c>
      <x:c r="M153" s="308" t="str">
        <x:f>IFERROR(K153/L153,"")</x:f>
      </x:c>
      <x:c r="N153" s="235"/>
      <x:c r="O153" s="297"/>
    </x:row>
    <x:row r="154">
      <x:c r="A154" s="293"/>
      <x:c r="B154" s="235"/>
      <x:c r="C154" s="235"/>
      <x:c r="D154" s="235"/>
      <x:c r="E154" s="235"/>
      <x:c r="F154" s="235"/>
      <x:c r="G154" s="294"/>
      <x:c r="H154" s="294"/>
      <x:c r="I154" s="235"/>
      <x:c r="J154" s="235"/>
      <x:c r="K154" s="306"/>
      <x:c r="L154" s="307" t="str">
        <x:f>IF(OR(E154="",F154="",K154=""),"",SUMIFS($K$2:$K$301,$E$2:$E$301,E154,$F$2:$F$301,F154))</x:f>
      </x:c>
      <x:c r="M154" s="308" t="str">
        <x:f>IFERROR(K154/L154,"")</x:f>
      </x:c>
      <x:c r="N154" s="235"/>
      <x:c r="O154" s="297"/>
    </x:row>
    <x:row r="155">
      <x:c r="A155" s="293"/>
      <x:c r="B155" s="235"/>
      <x:c r="C155" s="235"/>
      <x:c r="D155" s="235"/>
      <x:c r="E155" s="235"/>
      <x:c r="F155" s="235"/>
      <x:c r="G155" s="294"/>
      <x:c r="H155" s="294"/>
      <x:c r="I155" s="235"/>
      <x:c r="J155" s="235"/>
      <x:c r="K155" s="306"/>
      <x:c r="L155" s="307" t="str">
        <x:f>IF(OR(E155="",F155="",K155=""),"",SUMIFS($K$2:$K$301,$E$2:$E$301,E155,$F$2:$F$301,F155))</x:f>
      </x:c>
      <x:c r="M155" s="308" t="str">
        <x:f>IFERROR(K155/L155,"")</x:f>
      </x:c>
      <x:c r="N155" s="235"/>
      <x:c r="O155" s="297"/>
    </x:row>
    <x:row r="156">
      <x:c r="A156" s="293"/>
      <x:c r="B156" s="235"/>
      <x:c r="C156" s="235"/>
      <x:c r="D156" s="235"/>
      <x:c r="E156" s="235"/>
      <x:c r="F156" s="235"/>
      <x:c r="G156" s="294"/>
      <x:c r="H156" s="294"/>
      <x:c r="I156" s="235"/>
      <x:c r="J156" s="235"/>
      <x:c r="K156" s="306"/>
      <x:c r="L156" s="307" t="str">
        <x:f>IF(OR(E156="",F156="",K156=""),"",SUMIFS($K$2:$K$301,$E$2:$E$301,E156,$F$2:$F$301,F156))</x:f>
      </x:c>
      <x:c r="M156" s="308" t="str">
        <x:f>IFERROR(K156/L156,"")</x:f>
      </x:c>
      <x:c r="N156" s="235"/>
      <x:c r="O156" s="297"/>
    </x:row>
    <x:row r="157">
      <x:c r="A157" s="293"/>
      <x:c r="B157" s="235"/>
      <x:c r="C157" s="235"/>
      <x:c r="D157" s="235"/>
      <x:c r="E157" s="235"/>
      <x:c r="F157" s="235"/>
      <x:c r="G157" s="294"/>
      <x:c r="H157" s="294"/>
      <x:c r="I157" s="235"/>
      <x:c r="J157" s="235"/>
      <x:c r="K157" s="306"/>
      <x:c r="L157" s="307" t="str">
        <x:f>IF(OR(E157="",F157="",K157=""),"",SUMIFS($K$2:$K$301,$E$2:$E$301,E157,$F$2:$F$301,F157))</x:f>
      </x:c>
      <x:c r="M157" s="308" t="str">
        <x:f>IFERROR(K157/L157,"")</x:f>
      </x:c>
      <x:c r="N157" s="235"/>
      <x:c r="O157" s="297"/>
    </x:row>
    <x:row r="158">
      <x:c r="A158" s="293"/>
      <x:c r="B158" s="235"/>
      <x:c r="C158" s="235"/>
      <x:c r="D158" s="235"/>
      <x:c r="E158" s="235"/>
      <x:c r="F158" s="235"/>
      <x:c r="G158" s="294"/>
      <x:c r="H158" s="294"/>
      <x:c r="I158" s="235"/>
      <x:c r="J158" s="235"/>
      <x:c r="K158" s="306"/>
      <x:c r="L158" s="307" t="str">
        <x:f>IF(OR(E158="",F158="",K158=""),"",SUMIFS($K$2:$K$301,$E$2:$E$301,E158,$F$2:$F$301,F158))</x:f>
      </x:c>
      <x:c r="M158" s="308" t="str">
        <x:f>IFERROR(K158/L158,"")</x:f>
      </x:c>
      <x:c r="N158" s="235"/>
      <x:c r="O158" s="297"/>
    </x:row>
    <x:row r="159">
      <x:c r="A159" s="293"/>
      <x:c r="B159" s="235"/>
      <x:c r="C159" s="235"/>
      <x:c r="D159" s="235"/>
      <x:c r="E159" s="235"/>
      <x:c r="F159" s="235"/>
      <x:c r="G159" s="294"/>
      <x:c r="H159" s="294"/>
      <x:c r="I159" s="235"/>
      <x:c r="J159" s="235"/>
      <x:c r="K159" s="306"/>
      <x:c r="L159" s="307" t="str">
        <x:f>IF(OR(E159="",F159="",K159=""),"",SUMIFS($K$2:$K$301,$E$2:$E$301,E159,$F$2:$F$301,F159))</x:f>
      </x:c>
      <x:c r="M159" s="308" t="str">
        <x:f>IFERROR(K159/L159,"")</x:f>
      </x:c>
      <x:c r="N159" s="235"/>
      <x:c r="O159" s="297"/>
    </x:row>
    <x:row r="160">
      <x:c r="A160" s="293"/>
      <x:c r="B160" s="235"/>
      <x:c r="C160" s="235"/>
      <x:c r="D160" s="235"/>
      <x:c r="E160" s="235"/>
      <x:c r="F160" s="235"/>
      <x:c r="G160" s="294"/>
      <x:c r="H160" s="294"/>
      <x:c r="I160" s="235"/>
      <x:c r="J160" s="235"/>
      <x:c r="K160" s="306"/>
      <x:c r="L160" s="307" t="str">
        <x:f>IF(OR(E160="",F160="",K160=""),"",SUMIFS($K$2:$K$301,$E$2:$E$301,E160,$F$2:$F$301,F160))</x:f>
      </x:c>
      <x:c r="M160" s="308" t="str">
        <x:f>IFERROR(K160/L160,"")</x:f>
      </x:c>
      <x:c r="N160" s="235"/>
      <x:c r="O160" s="297"/>
    </x:row>
    <x:row r="161">
      <x:c r="A161" s="293"/>
      <x:c r="B161" s="235"/>
      <x:c r="C161" s="235"/>
      <x:c r="D161" s="235"/>
      <x:c r="E161" s="235"/>
      <x:c r="F161" s="235"/>
      <x:c r="G161" s="294"/>
      <x:c r="H161" s="294"/>
      <x:c r="I161" s="235"/>
      <x:c r="J161" s="235"/>
      <x:c r="K161" s="306"/>
      <x:c r="L161" s="307" t="str">
        <x:f>IF(OR(E161="",F161="",K161=""),"",SUMIFS($K$2:$K$301,$E$2:$E$301,E161,$F$2:$F$301,F161))</x:f>
      </x:c>
      <x:c r="M161" s="308" t="str">
        <x:f>IFERROR(K161/L161,"")</x:f>
      </x:c>
      <x:c r="N161" s="235"/>
      <x:c r="O161" s="297"/>
    </x:row>
    <x:row r="162">
      <x:c r="A162" s="293"/>
      <x:c r="B162" s="235"/>
      <x:c r="C162" s="235"/>
      <x:c r="D162" s="235"/>
      <x:c r="E162" s="235"/>
      <x:c r="F162" s="235"/>
      <x:c r="G162" s="294"/>
      <x:c r="H162" s="294"/>
      <x:c r="I162" s="235"/>
      <x:c r="J162" s="235"/>
      <x:c r="K162" s="306"/>
      <x:c r="L162" s="307" t="str">
        <x:f>IF(OR(E162="",F162="",K162=""),"",SUMIFS($K$2:$K$301,$E$2:$E$301,E162,$F$2:$F$301,F162))</x:f>
      </x:c>
      <x:c r="M162" s="308" t="str">
        <x:f>IFERROR(K162/L162,"")</x:f>
      </x:c>
      <x:c r="N162" s="235"/>
      <x:c r="O162" s="297"/>
    </x:row>
    <x:row r="163">
      <x:c r="A163" s="293"/>
      <x:c r="B163" s="235"/>
      <x:c r="C163" s="235"/>
      <x:c r="D163" s="235"/>
      <x:c r="E163" s="235"/>
      <x:c r="F163" s="235"/>
      <x:c r="G163" s="294"/>
      <x:c r="H163" s="294"/>
      <x:c r="I163" s="235"/>
      <x:c r="J163" s="235"/>
      <x:c r="K163" s="306"/>
      <x:c r="L163" s="307" t="str">
        <x:f>IF(OR(E163="",F163="",K163=""),"",SUMIFS($K$2:$K$301,$E$2:$E$301,E163,$F$2:$F$301,F163))</x:f>
      </x:c>
      <x:c r="M163" s="308" t="str">
        <x:f>IFERROR(K163/L163,"")</x:f>
      </x:c>
      <x:c r="N163" s="235"/>
      <x:c r="O163" s="297"/>
    </x:row>
    <x:row r="164">
      <x:c r="A164" s="293"/>
      <x:c r="B164" s="235"/>
      <x:c r="C164" s="235"/>
      <x:c r="D164" s="235"/>
      <x:c r="E164" s="235"/>
      <x:c r="F164" s="235"/>
      <x:c r="G164" s="294"/>
      <x:c r="H164" s="294"/>
      <x:c r="I164" s="235"/>
      <x:c r="J164" s="235"/>
      <x:c r="K164" s="306"/>
      <x:c r="L164" s="307" t="str">
        <x:f>IF(OR(E164="",F164="",K164=""),"",SUMIFS($K$2:$K$301,$E$2:$E$301,E164,$F$2:$F$301,F164))</x:f>
      </x:c>
      <x:c r="M164" s="308" t="str">
        <x:f>IFERROR(K164/L164,"")</x:f>
      </x:c>
      <x:c r="N164" s="235"/>
      <x:c r="O164" s="297"/>
    </x:row>
    <x:row r="165">
      <x:c r="A165" s="293"/>
      <x:c r="B165" s="235"/>
      <x:c r="C165" s="235"/>
      <x:c r="D165" s="235"/>
      <x:c r="E165" s="235"/>
      <x:c r="F165" s="235"/>
      <x:c r="G165" s="294"/>
      <x:c r="H165" s="294"/>
      <x:c r="I165" s="235"/>
      <x:c r="J165" s="235"/>
      <x:c r="K165" s="306"/>
      <x:c r="L165" s="307" t="str">
        <x:f>IF(OR(E165="",F165="",K165=""),"",SUMIFS($K$2:$K$301,$E$2:$E$301,E165,$F$2:$F$301,F165))</x:f>
      </x:c>
      <x:c r="M165" s="308" t="str">
        <x:f>IFERROR(K165/L165,"")</x:f>
      </x:c>
      <x:c r="N165" s="235"/>
      <x:c r="O165" s="297"/>
    </x:row>
    <x:row r="166">
      <x:c r="A166" s="293"/>
      <x:c r="B166" s="235"/>
      <x:c r="C166" s="235"/>
      <x:c r="D166" s="235"/>
      <x:c r="E166" s="235"/>
      <x:c r="F166" s="235"/>
      <x:c r="G166" s="294"/>
      <x:c r="H166" s="294"/>
      <x:c r="I166" s="235"/>
      <x:c r="J166" s="235"/>
      <x:c r="K166" s="306"/>
      <x:c r="L166" s="307" t="str">
        <x:f>IF(OR(E166="",F166="",K166=""),"",SUMIFS($K$2:$K$301,$E$2:$E$301,E166,$F$2:$F$301,F166))</x:f>
      </x:c>
      <x:c r="M166" s="308" t="str">
        <x:f>IFERROR(K166/L166,"")</x:f>
      </x:c>
      <x:c r="N166" s="235"/>
      <x:c r="O166" s="297"/>
    </x:row>
    <x:row r="167">
      <x:c r="A167" s="293"/>
      <x:c r="B167" s="235"/>
      <x:c r="C167" s="235"/>
      <x:c r="D167" s="235"/>
      <x:c r="E167" s="235"/>
      <x:c r="F167" s="235"/>
      <x:c r="G167" s="294"/>
      <x:c r="H167" s="294"/>
      <x:c r="I167" s="235"/>
      <x:c r="J167" s="235"/>
      <x:c r="K167" s="306"/>
      <x:c r="L167" s="307" t="str">
        <x:f>IF(OR(E167="",F167="",K167=""),"",SUMIFS($K$2:$K$301,$E$2:$E$301,E167,$F$2:$F$301,F167))</x:f>
      </x:c>
      <x:c r="M167" s="308" t="str">
        <x:f>IFERROR(K167/L167,"")</x:f>
      </x:c>
      <x:c r="N167" s="235"/>
      <x:c r="O167" s="297"/>
    </x:row>
    <x:row r="168">
      <x:c r="A168" s="293"/>
      <x:c r="B168" s="235"/>
      <x:c r="C168" s="235"/>
      <x:c r="D168" s="235"/>
      <x:c r="E168" s="235"/>
      <x:c r="F168" s="235"/>
      <x:c r="G168" s="294"/>
      <x:c r="H168" s="294"/>
      <x:c r="I168" s="235"/>
      <x:c r="J168" s="235"/>
      <x:c r="K168" s="306"/>
      <x:c r="L168" s="307" t="str">
        <x:f>IF(OR(E168="",F168="",K168=""),"",SUMIFS($K$2:$K$301,$E$2:$E$301,E168,$F$2:$F$301,F168))</x:f>
      </x:c>
      <x:c r="M168" s="308" t="str">
        <x:f>IFERROR(K168/L168,"")</x:f>
      </x:c>
      <x:c r="N168" s="235"/>
      <x:c r="O168" s="297"/>
    </x:row>
    <x:row r="169">
      <x:c r="A169" s="293"/>
      <x:c r="B169" s="235"/>
      <x:c r="C169" s="235"/>
      <x:c r="D169" s="235"/>
      <x:c r="E169" s="235"/>
      <x:c r="F169" s="235"/>
      <x:c r="G169" s="294"/>
      <x:c r="H169" s="294"/>
      <x:c r="I169" s="235"/>
      <x:c r="J169" s="235"/>
      <x:c r="K169" s="306"/>
      <x:c r="L169" s="307" t="str">
        <x:f>IF(OR(E169="",F169="",K169=""),"",SUMIFS($K$2:$K$301,$E$2:$E$301,E169,$F$2:$F$301,F169))</x:f>
      </x:c>
      <x:c r="M169" s="308" t="str">
        <x:f>IFERROR(K169/L169,"")</x:f>
      </x:c>
      <x:c r="N169" s="235"/>
      <x:c r="O169" s="297"/>
    </x:row>
    <x:row r="170">
      <x:c r="A170" s="293"/>
      <x:c r="B170" s="235"/>
      <x:c r="C170" s="235"/>
      <x:c r="D170" s="235"/>
      <x:c r="E170" s="235"/>
      <x:c r="F170" s="235"/>
      <x:c r="G170" s="294"/>
      <x:c r="H170" s="294"/>
      <x:c r="I170" s="235"/>
      <x:c r="J170" s="235"/>
      <x:c r="K170" s="306"/>
      <x:c r="L170" s="307" t="str">
        <x:f>IF(OR(E170="",F170="",K170=""),"",SUMIFS($K$2:$K$301,$E$2:$E$301,E170,$F$2:$F$301,F170))</x:f>
      </x:c>
      <x:c r="M170" s="308" t="str">
        <x:f>IFERROR(K170/L170,"")</x:f>
      </x:c>
      <x:c r="N170" s="235"/>
      <x:c r="O170" s="297"/>
    </x:row>
    <x:row r="171">
      <x:c r="A171" s="293"/>
      <x:c r="B171" s="235"/>
      <x:c r="C171" s="235"/>
      <x:c r="D171" s="235"/>
      <x:c r="E171" s="235"/>
      <x:c r="F171" s="235"/>
      <x:c r="G171" s="294"/>
      <x:c r="H171" s="294"/>
      <x:c r="I171" s="235"/>
      <x:c r="J171" s="235"/>
      <x:c r="K171" s="306"/>
      <x:c r="L171" s="307" t="str">
        <x:f>IF(OR(E171="",F171="",K171=""),"",SUMIFS($K$2:$K$301,$E$2:$E$301,E171,$F$2:$F$301,F171))</x:f>
      </x:c>
      <x:c r="M171" s="308" t="str">
        <x:f>IFERROR(K171/L171,"")</x:f>
      </x:c>
      <x:c r="N171" s="235"/>
      <x:c r="O171" s="297"/>
    </x:row>
    <x:row r="172">
      <x:c r="A172" s="293"/>
      <x:c r="B172" s="235"/>
      <x:c r="C172" s="235"/>
      <x:c r="D172" s="235"/>
      <x:c r="E172" s="235"/>
      <x:c r="F172" s="235"/>
      <x:c r="G172" s="294"/>
      <x:c r="H172" s="294"/>
      <x:c r="I172" s="235"/>
      <x:c r="J172" s="235"/>
      <x:c r="K172" s="306"/>
      <x:c r="L172" s="307" t="str">
        <x:f>IF(OR(E172="",F172="",K172=""),"",SUMIFS($K$2:$K$301,$E$2:$E$301,E172,$F$2:$F$301,F172))</x:f>
      </x:c>
      <x:c r="M172" s="308" t="str">
        <x:f>IFERROR(K172/L172,"")</x:f>
      </x:c>
      <x:c r="N172" s="235"/>
      <x:c r="O172" s="297"/>
    </x:row>
    <x:row r="173">
      <x:c r="A173" s="293"/>
      <x:c r="B173" s="235"/>
      <x:c r="C173" s="235"/>
      <x:c r="D173" s="235"/>
      <x:c r="E173" s="235"/>
      <x:c r="F173" s="235"/>
      <x:c r="G173" s="294"/>
      <x:c r="H173" s="294"/>
      <x:c r="I173" s="235"/>
      <x:c r="J173" s="235"/>
      <x:c r="K173" s="306"/>
      <x:c r="L173" s="307" t="str">
        <x:f>IF(OR(E173="",F173="",K173=""),"",SUMIFS($K$2:$K$301,$E$2:$E$301,E173,$F$2:$F$301,F173))</x:f>
      </x:c>
      <x:c r="M173" s="308" t="str">
        <x:f>IFERROR(K173/L173,"")</x:f>
      </x:c>
      <x:c r="N173" s="235"/>
      <x:c r="O173" s="297"/>
    </x:row>
    <x:row r="174">
      <x:c r="A174" s="293"/>
      <x:c r="B174" s="235"/>
      <x:c r="C174" s="235"/>
      <x:c r="D174" s="235"/>
      <x:c r="E174" s="235"/>
      <x:c r="F174" s="235"/>
      <x:c r="G174" s="294"/>
      <x:c r="H174" s="294"/>
      <x:c r="I174" s="235"/>
      <x:c r="J174" s="235"/>
      <x:c r="K174" s="306"/>
      <x:c r="L174" s="307" t="str">
        <x:f>IF(OR(E174="",F174="",K174=""),"",SUMIFS($K$2:$K$301,$E$2:$E$301,E174,$F$2:$F$301,F174))</x:f>
      </x:c>
      <x:c r="M174" s="308" t="str">
        <x:f>IFERROR(K174/L174,"")</x:f>
      </x:c>
      <x:c r="N174" s="235"/>
      <x:c r="O174" s="297"/>
    </x:row>
    <x:row r="175">
      <x:c r="A175" s="293"/>
      <x:c r="B175" s="235"/>
      <x:c r="C175" s="235"/>
      <x:c r="D175" s="235"/>
      <x:c r="E175" s="235"/>
      <x:c r="F175" s="235"/>
      <x:c r="G175" s="294"/>
      <x:c r="H175" s="294"/>
      <x:c r="I175" s="235"/>
      <x:c r="J175" s="235"/>
      <x:c r="K175" s="306"/>
      <x:c r="L175" s="307" t="str">
        <x:f>IF(OR(E175="",F175="",K175=""),"",SUMIFS($K$2:$K$301,$E$2:$E$301,E175,$F$2:$F$301,F175))</x:f>
      </x:c>
      <x:c r="M175" s="308" t="str">
        <x:f>IFERROR(K175/L175,"")</x:f>
      </x:c>
      <x:c r="N175" s="235"/>
      <x:c r="O175" s="297"/>
    </x:row>
    <x:row r="176">
      <x:c r="A176" s="293"/>
      <x:c r="B176" s="235"/>
      <x:c r="C176" s="235"/>
      <x:c r="D176" s="235"/>
      <x:c r="E176" s="235"/>
      <x:c r="F176" s="235"/>
      <x:c r="G176" s="294"/>
      <x:c r="H176" s="294"/>
      <x:c r="I176" s="235"/>
      <x:c r="J176" s="235"/>
      <x:c r="K176" s="306"/>
      <x:c r="L176" s="307" t="str">
        <x:f>IF(OR(E176="",F176="",K176=""),"",SUMIFS($K$2:$K$301,$E$2:$E$301,E176,$F$2:$F$301,F176))</x:f>
      </x:c>
      <x:c r="M176" s="308" t="str">
        <x:f>IFERROR(K176/L176,"")</x:f>
      </x:c>
      <x:c r="N176" s="235"/>
      <x:c r="O176" s="297"/>
    </x:row>
    <x:row r="177">
      <x:c r="A177" s="293"/>
      <x:c r="B177" s="235"/>
      <x:c r="C177" s="235"/>
      <x:c r="D177" s="235"/>
      <x:c r="E177" s="235"/>
      <x:c r="F177" s="235"/>
      <x:c r="G177" s="294"/>
      <x:c r="H177" s="294"/>
      <x:c r="I177" s="235"/>
      <x:c r="J177" s="235"/>
      <x:c r="K177" s="306"/>
      <x:c r="L177" s="307" t="str">
        <x:f>IF(OR(E177="",F177="",K177=""),"",SUMIFS($K$2:$K$301,$E$2:$E$301,E177,$F$2:$F$301,F177))</x:f>
      </x:c>
      <x:c r="M177" s="308" t="str">
        <x:f>IFERROR(K177/L177,"")</x:f>
      </x:c>
      <x:c r="N177" s="235"/>
      <x:c r="O177" s="297"/>
    </x:row>
    <x:row r="178">
      <x:c r="A178" s="293"/>
      <x:c r="B178" s="235"/>
      <x:c r="C178" s="235"/>
      <x:c r="D178" s="235"/>
      <x:c r="E178" s="235"/>
      <x:c r="F178" s="235"/>
      <x:c r="G178" s="294"/>
      <x:c r="H178" s="294"/>
      <x:c r="I178" s="235"/>
      <x:c r="J178" s="235"/>
      <x:c r="K178" s="306"/>
      <x:c r="L178" s="307" t="str">
        <x:f>IF(OR(E178="",F178="",K178=""),"",SUMIFS($K$2:$K$301,$E$2:$E$301,E178,$F$2:$F$301,F178))</x:f>
      </x:c>
      <x:c r="M178" s="308" t="str">
        <x:f>IFERROR(K178/L178,"")</x:f>
      </x:c>
      <x:c r="N178" s="235"/>
      <x:c r="O178" s="297"/>
    </x:row>
    <x:row r="179">
      <x:c r="A179" s="293"/>
      <x:c r="B179" s="235"/>
      <x:c r="C179" s="235"/>
      <x:c r="D179" s="235"/>
      <x:c r="E179" s="235"/>
      <x:c r="F179" s="235"/>
      <x:c r="G179" s="294"/>
      <x:c r="H179" s="294"/>
      <x:c r="I179" s="235"/>
      <x:c r="J179" s="235"/>
      <x:c r="K179" s="306"/>
      <x:c r="L179" s="307" t="str">
        <x:f>IF(OR(E179="",F179="",K179=""),"",SUMIFS($K$2:$K$301,$E$2:$E$301,E179,$F$2:$F$301,F179))</x:f>
      </x:c>
      <x:c r="M179" s="308" t="str">
        <x:f>IFERROR(K179/L179,"")</x:f>
      </x:c>
      <x:c r="N179" s="235"/>
      <x:c r="O179" s="297"/>
    </x:row>
    <x:row r="180">
      <x:c r="A180" s="293"/>
      <x:c r="B180" s="235"/>
      <x:c r="C180" s="235"/>
      <x:c r="D180" s="235"/>
      <x:c r="E180" s="235"/>
      <x:c r="F180" s="235"/>
      <x:c r="G180" s="294"/>
      <x:c r="H180" s="294"/>
      <x:c r="I180" s="235"/>
      <x:c r="J180" s="235"/>
      <x:c r="K180" s="306"/>
      <x:c r="L180" s="307" t="str">
        <x:f>IF(OR(E180="",F180="",K180=""),"",SUMIFS($K$2:$K$301,$E$2:$E$301,E180,$F$2:$F$301,F180))</x:f>
      </x:c>
      <x:c r="M180" s="308" t="str">
        <x:f>IFERROR(K180/L180,"")</x:f>
      </x:c>
      <x:c r="N180" s="235"/>
      <x:c r="O180" s="297"/>
    </x:row>
    <x:row r="181">
      <x:c r="A181" s="293"/>
      <x:c r="B181" s="235"/>
      <x:c r="C181" s="235"/>
      <x:c r="D181" s="235"/>
      <x:c r="E181" s="235"/>
      <x:c r="F181" s="235"/>
      <x:c r="G181" s="294"/>
      <x:c r="H181" s="294"/>
      <x:c r="I181" s="235"/>
      <x:c r="J181" s="235"/>
      <x:c r="K181" s="306"/>
      <x:c r="L181" s="307" t="str">
        <x:f>IF(OR(E181="",F181="",K181=""),"",SUMIFS($K$2:$K$301,$E$2:$E$301,E181,$F$2:$F$301,F181))</x:f>
      </x:c>
      <x:c r="M181" s="308" t="str">
        <x:f>IFERROR(K181/L181,"")</x:f>
      </x:c>
      <x:c r="N181" s="235"/>
      <x:c r="O181" s="297"/>
    </x:row>
    <x:row r="182">
      <x:c r="A182" s="293"/>
      <x:c r="B182" s="235"/>
      <x:c r="C182" s="235"/>
      <x:c r="D182" s="235"/>
      <x:c r="E182" s="235"/>
      <x:c r="F182" s="235"/>
      <x:c r="G182" s="294"/>
      <x:c r="H182" s="294"/>
      <x:c r="I182" s="235"/>
      <x:c r="J182" s="235"/>
      <x:c r="K182" s="306"/>
      <x:c r="L182" s="307" t="str">
        <x:f>IF(OR(E182="",F182="",K182=""),"",SUMIFS($K$2:$K$301,$E$2:$E$301,E182,$F$2:$F$301,F182))</x:f>
      </x:c>
      <x:c r="M182" s="308" t="str">
        <x:f>IFERROR(K182/L182,"")</x:f>
      </x:c>
      <x:c r="N182" s="235"/>
      <x:c r="O182" s="297"/>
    </x:row>
    <x:row r="183">
      <x:c r="A183" s="293"/>
      <x:c r="B183" s="235"/>
      <x:c r="C183" s="235"/>
      <x:c r="D183" s="235"/>
      <x:c r="E183" s="235"/>
      <x:c r="F183" s="235"/>
      <x:c r="G183" s="294"/>
      <x:c r="H183" s="294"/>
      <x:c r="I183" s="235"/>
      <x:c r="J183" s="235"/>
      <x:c r="K183" s="306"/>
      <x:c r="L183" s="307" t="str">
        <x:f>IF(OR(E183="",F183="",K183=""),"",SUMIFS($K$2:$K$301,$E$2:$E$301,E183,$F$2:$F$301,F183))</x:f>
      </x:c>
      <x:c r="M183" s="308" t="str">
        <x:f>IFERROR(K183/L183,"")</x:f>
      </x:c>
      <x:c r="N183" s="235"/>
      <x:c r="O183" s="297"/>
    </x:row>
    <x:row r="184">
      <x:c r="A184" s="293"/>
      <x:c r="B184" s="235"/>
      <x:c r="C184" s="235"/>
      <x:c r="D184" s="235"/>
      <x:c r="E184" s="235"/>
      <x:c r="F184" s="235"/>
      <x:c r="G184" s="294"/>
      <x:c r="H184" s="294"/>
      <x:c r="I184" s="235"/>
      <x:c r="J184" s="235"/>
      <x:c r="K184" s="306"/>
      <x:c r="L184" s="307" t="str">
        <x:f>IF(OR(E184="",F184="",K184=""),"",SUMIFS($K$2:$K$301,$E$2:$E$301,E184,$F$2:$F$301,F184))</x:f>
      </x:c>
      <x:c r="M184" s="308" t="str">
        <x:f>IFERROR(K184/L184,"")</x:f>
      </x:c>
      <x:c r="N184" s="235"/>
      <x:c r="O184" s="297"/>
    </x:row>
    <x:row r="185">
      <x:c r="A185" s="293"/>
      <x:c r="B185" s="235"/>
      <x:c r="C185" s="235"/>
      <x:c r="D185" s="235"/>
      <x:c r="E185" s="235"/>
      <x:c r="F185" s="235"/>
      <x:c r="G185" s="294"/>
      <x:c r="H185" s="294"/>
      <x:c r="I185" s="235"/>
      <x:c r="J185" s="235"/>
      <x:c r="K185" s="306"/>
      <x:c r="L185" s="307" t="str">
        <x:f>IF(OR(E185="",F185="",K185=""),"",SUMIFS($K$2:$K$301,$E$2:$E$301,E185,$F$2:$F$301,F185))</x:f>
      </x:c>
      <x:c r="M185" s="308" t="str">
        <x:f>IFERROR(K185/L185,"")</x:f>
      </x:c>
      <x:c r="N185" s="235"/>
      <x:c r="O185" s="297"/>
    </x:row>
    <x:row r="186">
      <x:c r="A186" s="293"/>
      <x:c r="B186" s="235"/>
      <x:c r="C186" s="235"/>
      <x:c r="D186" s="235"/>
      <x:c r="E186" s="235"/>
      <x:c r="F186" s="235"/>
      <x:c r="G186" s="294"/>
      <x:c r="H186" s="294"/>
      <x:c r="I186" s="235"/>
      <x:c r="J186" s="235"/>
      <x:c r="K186" s="306"/>
      <x:c r="L186" s="307" t="str">
        <x:f>IF(OR(E186="",F186="",K186=""),"",SUMIFS($K$2:$K$301,$E$2:$E$301,E186,$F$2:$F$301,F186))</x:f>
      </x:c>
      <x:c r="M186" s="308" t="str">
        <x:f>IFERROR(K186/L186,"")</x:f>
      </x:c>
      <x:c r="N186" s="235"/>
      <x:c r="O186" s="297"/>
    </x:row>
    <x:row r="187">
      <x:c r="A187" s="293"/>
      <x:c r="B187" s="235"/>
      <x:c r="C187" s="235"/>
      <x:c r="D187" s="235"/>
      <x:c r="E187" s="235"/>
      <x:c r="F187" s="235"/>
      <x:c r="G187" s="294"/>
      <x:c r="H187" s="294"/>
      <x:c r="I187" s="235"/>
      <x:c r="J187" s="235"/>
      <x:c r="K187" s="306"/>
      <x:c r="L187" s="307" t="str">
        <x:f>IF(OR(E187="",F187="",K187=""),"",SUMIFS($K$2:$K$301,$E$2:$E$301,E187,$F$2:$F$301,F187))</x:f>
      </x:c>
      <x:c r="M187" s="308" t="str">
        <x:f>IFERROR(K187/L187,"")</x:f>
      </x:c>
      <x:c r="N187" s="235"/>
      <x:c r="O187" s="297"/>
    </x:row>
    <x:row r="188">
      <x:c r="A188" s="293"/>
      <x:c r="B188" s="235"/>
      <x:c r="C188" s="235"/>
      <x:c r="D188" s="235"/>
      <x:c r="E188" s="235"/>
      <x:c r="F188" s="235"/>
      <x:c r="G188" s="294"/>
      <x:c r="H188" s="294"/>
      <x:c r="I188" s="235"/>
      <x:c r="J188" s="235"/>
      <x:c r="K188" s="306"/>
      <x:c r="L188" s="307" t="str">
        <x:f>IF(OR(E188="",F188="",K188=""),"",SUMIFS($K$2:$K$301,$E$2:$E$301,E188,$F$2:$F$301,F188))</x:f>
      </x:c>
      <x:c r="M188" s="308" t="str">
        <x:f>IFERROR(K188/L188,"")</x:f>
      </x:c>
      <x:c r="N188" s="235"/>
      <x:c r="O188" s="297"/>
    </x:row>
    <x:row r="189">
      <x:c r="A189" s="293"/>
      <x:c r="B189" s="235"/>
      <x:c r="C189" s="235"/>
      <x:c r="D189" s="235"/>
      <x:c r="E189" s="235"/>
      <x:c r="F189" s="235"/>
      <x:c r="G189" s="294"/>
      <x:c r="H189" s="294"/>
      <x:c r="I189" s="235"/>
      <x:c r="J189" s="235"/>
      <x:c r="K189" s="306"/>
      <x:c r="L189" s="307" t="str">
        <x:f>IF(OR(E189="",F189="",K189=""),"",SUMIFS($K$2:$K$301,$E$2:$E$301,E189,$F$2:$F$301,F189))</x:f>
      </x:c>
      <x:c r="M189" s="308" t="str">
        <x:f>IFERROR(K189/L189,"")</x:f>
      </x:c>
      <x:c r="N189" s="235"/>
      <x:c r="O189" s="297"/>
    </x:row>
    <x:row r="190">
      <x:c r="A190" s="293"/>
      <x:c r="B190" s="235"/>
      <x:c r="C190" s="235"/>
      <x:c r="D190" s="235"/>
      <x:c r="E190" s="235"/>
      <x:c r="F190" s="235"/>
      <x:c r="G190" s="294"/>
      <x:c r="H190" s="294"/>
      <x:c r="I190" s="235"/>
      <x:c r="J190" s="235"/>
      <x:c r="K190" s="306"/>
      <x:c r="L190" s="307" t="str">
        <x:f>IF(OR(E190="",F190="",K190=""),"",SUMIFS($K$2:$K$301,$E$2:$E$301,E190,$F$2:$F$301,F190))</x:f>
      </x:c>
      <x:c r="M190" s="308" t="str">
        <x:f>IFERROR(K190/L190,"")</x:f>
      </x:c>
      <x:c r="N190" s="235"/>
      <x:c r="O190" s="297"/>
    </x:row>
    <x:row r="191">
      <x:c r="A191" s="293"/>
      <x:c r="B191" s="235"/>
      <x:c r="C191" s="235"/>
      <x:c r="D191" s="235"/>
      <x:c r="E191" s="235"/>
      <x:c r="F191" s="235"/>
      <x:c r="G191" s="294"/>
      <x:c r="H191" s="294"/>
      <x:c r="I191" s="235"/>
      <x:c r="J191" s="235"/>
      <x:c r="K191" s="306"/>
      <x:c r="L191" s="307" t="str">
        <x:f>IF(OR(E191="",F191="",K191=""),"",SUMIFS($K$2:$K$301,$E$2:$E$301,E191,$F$2:$F$301,F191))</x:f>
      </x:c>
      <x:c r="M191" s="308" t="str">
        <x:f>IFERROR(K191/L191,"")</x:f>
      </x:c>
      <x:c r="N191" s="235"/>
      <x:c r="O191" s="297"/>
    </x:row>
    <x:row r="192">
      <x:c r="A192" s="293"/>
      <x:c r="B192" s="235"/>
      <x:c r="C192" s="235"/>
      <x:c r="D192" s="235"/>
      <x:c r="E192" s="235"/>
      <x:c r="F192" s="235"/>
      <x:c r="G192" s="294"/>
      <x:c r="H192" s="294"/>
      <x:c r="I192" s="235"/>
      <x:c r="J192" s="235"/>
      <x:c r="K192" s="306"/>
      <x:c r="L192" s="307" t="str">
        <x:f>IF(OR(E192="",F192="",K192=""),"",SUMIFS($K$2:$K$301,$E$2:$E$301,E192,$F$2:$F$301,F192))</x:f>
      </x:c>
      <x:c r="M192" s="308" t="str">
        <x:f>IFERROR(K192/L192,"")</x:f>
      </x:c>
      <x:c r="N192" s="235"/>
      <x:c r="O192" s="297"/>
    </x:row>
    <x:row r="193">
      <x:c r="A193" s="293"/>
      <x:c r="B193" s="235"/>
      <x:c r="C193" s="235"/>
      <x:c r="D193" s="235"/>
      <x:c r="E193" s="235"/>
      <x:c r="F193" s="235"/>
      <x:c r="G193" s="294"/>
      <x:c r="H193" s="294"/>
      <x:c r="I193" s="235"/>
      <x:c r="J193" s="235"/>
      <x:c r="K193" s="306"/>
      <x:c r="L193" s="307" t="str">
        <x:f>IF(OR(E193="",F193="",K193=""),"",SUMIFS($K$2:$K$301,$E$2:$E$301,E193,$F$2:$F$301,F193))</x:f>
      </x:c>
      <x:c r="M193" s="308" t="str">
        <x:f>IFERROR(K193/L193,"")</x:f>
      </x:c>
      <x:c r="N193" s="235"/>
      <x:c r="O193" s="297"/>
    </x:row>
    <x:row r="194">
      <x:c r="A194" s="293"/>
      <x:c r="B194" s="235"/>
      <x:c r="C194" s="235"/>
      <x:c r="D194" s="235"/>
      <x:c r="E194" s="235"/>
      <x:c r="F194" s="235"/>
      <x:c r="G194" s="294"/>
      <x:c r="H194" s="294"/>
      <x:c r="I194" s="235"/>
      <x:c r="J194" s="235"/>
      <x:c r="K194" s="306"/>
      <x:c r="L194" s="307" t="str">
        <x:f>IF(OR(E194="",F194="",K194=""),"",SUMIFS($K$2:$K$301,$E$2:$E$301,E194,$F$2:$F$301,F194))</x:f>
      </x:c>
      <x:c r="M194" s="308" t="str">
        <x:f>IFERROR(K194/L194,"")</x:f>
      </x:c>
      <x:c r="N194" s="235"/>
      <x:c r="O194" s="297"/>
    </x:row>
    <x:row r="195">
      <x:c r="A195" s="293"/>
      <x:c r="B195" s="235"/>
      <x:c r="C195" s="235"/>
      <x:c r="D195" s="235"/>
      <x:c r="E195" s="235"/>
      <x:c r="F195" s="235"/>
      <x:c r="G195" s="294"/>
      <x:c r="H195" s="294"/>
      <x:c r="I195" s="235"/>
      <x:c r="J195" s="235"/>
      <x:c r="K195" s="306"/>
      <x:c r="L195" s="307" t="str">
        <x:f>IF(OR(E195="",F195="",K195=""),"",SUMIFS($K$2:$K$301,$E$2:$E$301,E195,$F$2:$F$301,F195))</x:f>
      </x:c>
      <x:c r="M195" s="308" t="str">
        <x:f>IFERROR(K195/L195,"")</x:f>
      </x:c>
      <x:c r="N195" s="235"/>
      <x:c r="O195" s="297"/>
    </x:row>
    <x:row r="196">
      <x:c r="A196" s="293"/>
      <x:c r="B196" s="235"/>
      <x:c r="C196" s="235"/>
      <x:c r="D196" s="235"/>
      <x:c r="E196" s="235"/>
      <x:c r="F196" s="235"/>
      <x:c r="G196" s="294"/>
      <x:c r="H196" s="294"/>
      <x:c r="I196" s="235"/>
      <x:c r="J196" s="235"/>
      <x:c r="K196" s="306"/>
      <x:c r="L196" s="307" t="str">
        <x:f>IF(OR(E196="",F196="",K196=""),"",SUMIFS($K$2:$K$301,$E$2:$E$301,E196,$F$2:$F$301,F196))</x:f>
      </x:c>
      <x:c r="M196" s="308" t="str">
        <x:f>IFERROR(K196/L196,"")</x:f>
      </x:c>
      <x:c r="N196" s="235"/>
      <x:c r="O196" s="297"/>
    </x:row>
    <x:row r="197">
      <x:c r="A197" s="293"/>
      <x:c r="B197" s="235"/>
      <x:c r="C197" s="235"/>
      <x:c r="D197" s="235"/>
      <x:c r="E197" s="235"/>
      <x:c r="F197" s="235"/>
      <x:c r="G197" s="294"/>
      <x:c r="H197" s="294"/>
      <x:c r="I197" s="235"/>
      <x:c r="J197" s="235"/>
      <x:c r="K197" s="306"/>
      <x:c r="L197" s="307" t="str">
        <x:f>IF(OR(E197="",F197="",K197=""),"",SUMIFS($K$2:$K$301,$E$2:$E$301,E197,$F$2:$F$301,F197))</x:f>
      </x:c>
      <x:c r="M197" s="308" t="str">
        <x:f>IFERROR(K197/L197,"")</x:f>
      </x:c>
      <x:c r="N197" s="235"/>
      <x:c r="O197" s="297"/>
    </x:row>
    <x:row r="198">
      <x:c r="A198" s="293"/>
      <x:c r="B198" s="235"/>
      <x:c r="C198" s="235"/>
      <x:c r="D198" s="235"/>
      <x:c r="E198" s="235"/>
      <x:c r="F198" s="235"/>
      <x:c r="G198" s="294"/>
      <x:c r="H198" s="294"/>
      <x:c r="I198" s="235"/>
      <x:c r="J198" s="235"/>
      <x:c r="K198" s="306"/>
      <x:c r="L198" s="307" t="str">
        <x:f>IF(OR(E198="",F198="",K198=""),"",SUMIFS($K$2:$K$301,$E$2:$E$301,E198,$F$2:$F$301,F198))</x:f>
      </x:c>
      <x:c r="M198" s="308" t="str">
        <x:f>IFERROR(K198/L198,"")</x:f>
      </x:c>
      <x:c r="N198" s="235"/>
      <x:c r="O198" s="297"/>
    </x:row>
    <x:row r="199">
      <x:c r="A199" s="293"/>
      <x:c r="B199" s="235"/>
      <x:c r="C199" s="235"/>
      <x:c r="D199" s="235"/>
      <x:c r="E199" s="235"/>
      <x:c r="F199" s="235"/>
      <x:c r="G199" s="294"/>
      <x:c r="H199" s="294"/>
      <x:c r="I199" s="235"/>
      <x:c r="J199" s="235"/>
      <x:c r="K199" s="306"/>
      <x:c r="L199" s="307" t="str">
        <x:f>IF(OR(E199="",F199="",K199=""),"",SUMIFS($K$2:$K$301,$E$2:$E$301,E199,$F$2:$F$301,F199))</x:f>
      </x:c>
      <x:c r="M199" s="308" t="str">
        <x:f>IFERROR(K199/L199,"")</x:f>
      </x:c>
      <x:c r="N199" s="235"/>
      <x:c r="O199" s="297"/>
    </x:row>
    <x:row r="200">
      <x:c r="A200" s="293"/>
      <x:c r="B200" s="235"/>
      <x:c r="C200" s="235"/>
      <x:c r="D200" s="235"/>
      <x:c r="E200" s="235"/>
      <x:c r="F200" s="235"/>
      <x:c r="G200" s="294"/>
      <x:c r="H200" s="294"/>
      <x:c r="I200" s="235"/>
      <x:c r="J200" s="235"/>
      <x:c r="K200" s="306"/>
      <x:c r="L200" s="307" t="str">
        <x:f>IF(OR(E200="",F200="",K200=""),"",SUMIFS($K$2:$K$301,$E$2:$E$301,E200,$F$2:$F$301,F200))</x:f>
      </x:c>
      <x:c r="M200" s="308" t="str">
        <x:f>IFERROR(K200/L200,"")</x:f>
      </x:c>
      <x:c r="N200" s="235"/>
      <x:c r="O200" s="297"/>
    </x:row>
    <x:row r="201">
      <x:c r="A201" s="293"/>
      <x:c r="B201" s="235"/>
      <x:c r="C201" s="235"/>
      <x:c r="D201" s="235"/>
      <x:c r="E201" s="235"/>
      <x:c r="F201" s="235"/>
      <x:c r="G201" s="294"/>
      <x:c r="H201" s="294"/>
      <x:c r="I201" s="235"/>
      <x:c r="J201" s="235"/>
      <x:c r="K201" s="306"/>
      <x:c r="L201" s="307" t="str">
        <x:f>IF(OR(E201="",F201="",K201=""),"",SUMIFS($K$2:$K$301,$E$2:$E$301,E201,$F$2:$F$301,F201))</x:f>
      </x:c>
      <x:c r="M201" s="308" t="str">
        <x:f>IFERROR(K201/L201,"")</x:f>
      </x:c>
      <x:c r="N201" s="235"/>
      <x:c r="O201" s="297"/>
    </x:row>
    <x:row r="202">
      <x:c r="A202" s="293"/>
      <x:c r="B202" s="235"/>
      <x:c r="C202" s="235"/>
      <x:c r="D202" s="235"/>
      <x:c r="E202" s="235"/>
      <x:c r="F202" s="235"/>
      <x:c r="G202" s="294"/>
      <x:c r="H202" s="294"/>
      <x:c r="I202" s="235"/>
      <x:c r="J202" s="235"/>
      <x:c r="K202" s="306"/>
      <x:c r="L202" s="307" t="str">
        <x:f>IF(OR(E202="",F202="",K202=""),"",SUMIFS($K$2:$K$301,$E$2:$E$301,E202,$F$2:$F$301,F202))</x:f>
      </x:c>
      <x:c r="M202" s="308" t="str">
        <x:f>IFERROR(K202/L202,"")</x:f>
      </x:c>
      <x:c r="N202" s="235"/>
      <x:c r="O202" s="297"/>
    </x:row>
    <x:row r="203">
      <x:c r="A203" s="293"/>
      <x:c r="B203" s="235"/>
      <x:c r="C203" s="235"/>
      <x:c r="D203" s="235"/>
      <x:c r="E203" s="235"/>
      <x:c r="F203" s="235"/>
      <x:c r="G203" s="294"/>
      <x:c r="H203" s="294"/>
      <x:c r="I203" s="235"/>
      <x:c r="J203" s="235"/>
      <x:c r="K203" s="306"/>
      <x:c r="L203" s="307" t="str">
        <x:f>IF(OR(E203="",F203="",K203=""),"",SUMIFS($K$2:$K$301,$E$2:$E$301,E203,$F$2:$F$301,F203))</x:f>
      </x:c>
      <x:c r="M203" s="308" t="str">
        <x:f>IFERROR(K203/L203,"")</x:f>
      </x:c>
      <x:c r="N203" s="235"/>
      <x:c r="O203" s="297"/>
    </x:row>
    <x:row r="204">
      <x:c r="A204" s="293"/>
      <x:c r="B204" s="235"/>
      <x:c r="C204" s="235"/>
      <x:c r="D204" s="235"/>
      <x:c r="E204" s="235"/>
      <x:c r="F204" s="235"/>
      <x:c r="G204" s="294"/>
      <x:c r="H204" s="294"/>
      <x:c r="I204" s="235"/>
      <x:c r="J204" s="235"/>
      <x:c r="K204" s="306"/>
      <x:c r="L204" s="307" t="str">
        <x:f>IF(OR(E204="",F204="",K204=""),"",SUMIFS($K$2:$K$301,$E$2:$E$301,E204,$F$2:$F$301,F204))</x:f>
      </x:c>
      <x:c r="M204" s="308" t="str">
        <x:f>IFERROR(K204/L204,"")</x:f>
      </x:c>
      <x:c r="N204" s="235"/>
      <x:c r="O204" s="297"/>
    </x:row>
    <x:row r="205">
      <x:c r="A205" s="293"/>
      <x:c r="B205" s="235"/>
      <x:c r="C205" s="235"/>
      <x:c r="D205" s="235"/>
      <x:c r="E205" s="235"/>
      <x:c r="F205" s="235"/>
      <x:c r="G205" s="294"/>
      <x:c r="H205" s="294"/>
      <x:c r="I205" s="235"/>
      <x:c r="J205" s="235"/>
      <x:c r="K205" s="306"/>
      <x:c r="L205" s="307" t="str">
        <x:f>IF(OR(E205="",F205="",K205=""),"",SUMIFS($K$2:$K$301,$E$2:$E$301,E205,$F$2:$F$301,F205))</x:f>
      </x:c>
      <x:c r="M205" s="308" t="str">
        <x:f>IFERROR(K205/L205,"")</x:f>
      </x:c>
      <x:c r="N205" s="235"/>
      <x:c r="O205" s="297"/>
    </x:row>
    <x:row r="206">
      <x:c r="A206" s="293"/>
      <x:c r="B206" s="235"/>
      <x:c r="C206" s="235"/>
      <x:c r="D206" s="235"/>
      <x:c r="E206" s="235"/>
      <x:c r="F206" s="235"/>
      <x:c r="G206" s="294"/>
      <x:c r="H206" s="294"/>
      <x:c r="I206" s="235"/>
      <x:c r="J206" s="235"/>
      <x:c r="K206" s="306"/>
      <x:c r="L206" s="307" t="str">
        <x:f>IF(OR(E206="",F206="",K206=""),"",SUMIFS($K$2:$K$301,$E$2:$E$301,E206,$F$2:$F$301,F206))</x:f>
      </x:c>
      <x:c r="M206" s="308" t="str">
        <x:f>IFERROR(K206/L206,"")</x:f>
      </x:c>
      <x:c r="N206" s="235"/>
      <x:c r="O206" s="297"/>
    </x:row>
    <x:row r="207">
      <x:c r="A207" s="293"/>
      <x:c r="B207" s="235"/>
      <x:c r="C207" s="235"/>
      <x:c r="D207" s="235"/>
      <x:c r="E207" s="235"/>
      <x:c r="F207" s="235"/>
      <x:c r="G207" s="294"/>
      <x:c r="H207" s="294"/>
      <x:c r="I207" s="235"/>
      <x:c r="J207" s="235"/>
      <x:c r="K207" s="306"/>
      <x:c r="L207" s="307" t="str">
        <x:f>IF(OR(E207="",F207="",K207=""),"",SUMIFS($K$2:$K$301,$E$2:$E$301,E207,$F$2:$F$301,F207))</x:f>
      </x:c>
      <x:c r="M207" s="308" t="str">
        <x:f>IFERROR(K207/L207,"")</x:f>
      </x:c>
      <x:c r="N207" s="235"/>
      <x:c r="O207" s="297"/>
    </x:row>
    <x:row r="208">
      <x:c r="A208" s="293"/>
      <x:c r="B208" s="235"/>
      <x:c r="C208" s="235"/>
      <x:c r="D208" s="235"/>
      <x:c r="E208" s="235"/>
      <x:c r="F208" s="235"/>
      <x:c r="G208" s="294"/>
      <x:c r="H208" s="294"/>
      <x:c r="I208" s="235"/>
      <x:c r="J208" s="235"/>
      <x:c r="K208" s="306"/>
      <x:c r="L208" s="307" t="str">
        <x:f>IF(OR(E208="",F208="",K208=""),"",SUMIFS($K$2:$K$301,$E$2:$E$301,E208,$F$2:$F$301,F208))</x:f>
      </x:c>
      <x:c r="M208" s="308" t="str">
        <x:f>IFERROR(K208/L208,"")</x:f>
      </x:c>
      <x:c r="N208" s="235"/>
      <x:c r="O208" s="297"/>
    </x:row>
    <x:row r="209">
      <x:c r="A209" s="293"/>
      <x:c r="B209" s="235"/>
      <x:c r="C209" s="235"/>
      <x:c r="D209" s="235"/>
      <x:c r="E209" s="235"/>
      <x:c r="F209" s="235"/>
      <x:c r="G209" s="294"/>
      <x:c r="H209" s="294"/>
      <x:c r="I209" s="235"/>
      <x:c r="J209" s="235"/>
      <x:c r="K209" s="306"/>
      <x:c r="L209" s="307" t="str">
        <x:f>IF(OR(E209="",F209="",K209=""),"",SUMIFS($K$2:$K$301,$E$2:$E$301,E209,$F$2:$F$301,F209))</x:f>
      </x:c>
      <x:c r="M209" s="308" t="str">
        <x:f>IFERROR(K209/L209,"")</x:f>
      </x:c>
      <x:c r="N209" s="235"/>
      <x:c r="O209" s="297"/>
    </x:row>
    <x:row r="210">
      <x:c r="A210" s="293"/>
      <x:c r="B210" s="235"/>
      <x:c r="C210" s="235"/>
      <x:c r="D210" s="235"/>
      <x:c r="E210" s="235"/>
      <x:c r="F210" s="235"/>
      <x:c r="G210" s="294"/>
      <x:c r="H210" s="294"/>
      <x:c r="I210" s="235"/>
      <x:c r="J210" s="235"/>
      <x:c r="K210" s="306"/>
      <x:c r="L210" s="307" t="str">
        <x:f>IF(OR(E210="",F210="",K210=""),"",SUMIFS($K$2:$K$301,$E$2:$E$301,E210,$F$2:$F$301,F210))</x:f>
      </x:c>
      <x:c r="M210" s="308" t="str">
        <x:f>IFERROR(K210/L210,"")</x:f>
      </x:c>
      <x:c r="N210" s="235"/>
      <x:c r="O210" s="297"/>
    </x:row>
    <x:row r="211">
      <x:c r="A211" s="293"/>
      <x:c r="B211" s="235"/>
      <x:c r="C211" s="235"/>
      <x:c r="D211" s="235"/>
      <x:c r="E211" s="235"/>
      <x:c r="F211" s="235"/>
      <x:c r="G211" s="294"/>
      <x:c r="H211" s="294"/>
      <x:c r="I211" s="235"/>
      <x:c r="J211" s="235"/>
      <x:c r="K211" s="306"/>
      <x:c r="L211" s="307" t="str">
        <x:f>IF(OR(E211="",F211="",K211=""),"",SUMIFS($K$2:$K$301,$E$2:$E$301,E211,$F$2:$F$301,F211))</x:f>
      </x:c>
      <x:c r="M211" s="308" t="str">
        <x:f>IFERROR(K211/L211,"")</x:f>
      </x:c>
      <x:c r="N211" s="235"/>
      <x:c r="O211" s="297"/>
    </x:row>
    <x:row r="212">
      <x:c r="A212" s="293"/>
      <x:c r="B212" s="235"/>
      <x:c r="C212" s="235"/>
      <x:c r="D212" s="235"/>
      <x:c r="E212" s="235"/>
      <x:c r="F212" s="235"/>
      <x:c r="G212" s="294"/>
      <x:c r="H212" s="294"/>
      <x:c r="I212" s="235"/>
      <x:c r="J212" s="235"/>
      <x:c r="K212" s="306"/>
      <x:c r="L212" s="307" t="str">
        <x:f>IF(OR(E212="",F212="",K212=""),"",SUMIFS($K$2:$K$301,$E$2:$E$301,E212,$F$2:$F$301,F212))</x:f>
      </x:c>
      <x:c r="M212" s="308" t="str">
        <x:f>IFERROR(K212/L212,"")</x:f>
      </x:c>
      <x:c r="N212" s="235"/>
      <x:c r="O212" s="297"/>
    </x:row>
    <x:row r="213">
      <x:c r="A213" s="293"/>
      <x:c r="B213" s="235"/>
      <x:c r="C213" s="235"/>
      <x:c r="D213" s="235"/>
      <x:c r="E213" s="235"/>
      <x:c r="F213" s="235"/>
      <x:c r="G213" s="294"/>
      <x:c r="H213" s="294"/>
      <x:c r="I213" s="235"/>
      <x:c r="J213" s="235"/>
      <x:c r="K213" s="306"/>
      <x:c r="L213" s="307" t="str">
        <x:f>IF(OR(E213="",F213="",K213=""),"",SUMIFS($K$2:$K$301,$E$2:$E$301,E213,$F$2:$F$301,F213))</x:f>
      </x:c>
      <x:c r="M213" s="308" t="str">
        <x:f>IFERROR(K213/L213,"")</x:f>
      </x:c>
      <x:c r="N213" s="235"/>
      <x:c r="O213" s="297"/>
    </x:row>
    <x:row r="214">
      <x:c r="A214" s="293"/>
      <x:c r="B214" s="235"/>
      <x:c r="C214" s="235"/>
      <x:c r="D214" s="235"/>
      <x:c r="E214" s="235"/>
      <x:c r="F214" s="235"/>
      <x:c r="G214" s="294"/>
      <x:c r="H214" s="294"/>
      <x:c r="I214" s="235"/>
      <x:c r="J214" s="235"/>
      <x:c r="K214" s="306"/>
      <x:c r="L214" s="307" t="str">
        <x:f>IF(OR(E214="",F214="",K214=""),"",SUMIFS($K$2:$K$301,$E$2:$E$301,E214,$F$2:$F$301,F214))</x:f>
      </x:c>
      <x:c r="M214" s="308" t="str">
        <x:f>IFERROR(K214/L214,"")</x:f>
      </x:c>
      <x:c r="N214" s="235"/>
      <x:c r="O214" s="297"/>
    </x:row>
    <x:row r="215">
      <x:c r="A215" s="293"/>
      <x:c r="B215" s="235"/>
      <x:c r="C215" s="235"/>
      <x:c r="D215" s="235"/>
      <x:c r="E215" s="235"/>
      <x:c r="F215" s="235"/>
      <x:c r="G215" s="294"/>
      <x:c r="H215" s="294"/>
      <x:c r="I215" s="235"/>
      <x:c r="J215" s="235"/>
      <x:c r="K215" s="306"/>
      <x:c r="L215" s="307" t="str">
        <x:f>IF(OR(E215="",F215="",K215=""),"",SUMIFS($K$2:$K$301,$E$2:$E$301,E215,$F$2:$F$301,F215))</x:f>
      </x:c>
      <x:c r="M215" s="308" t="str">
        <x:f>IFERROR(K215/L215,"")</x:f>
      </x:c>
      <x:c r="N215" s="235"/>
      <x:c r="O215" s="297"/>
    </x:row>
    <x:row r="216">
      <x:c r="A216" s="293"/>
      <x:c r="B216" s="235"/>
      <x:c r="C216" s="235"/>
      <x:c r="D216" s="235"/>
      <x:c r="E216" s="235"/>
      <x:c r="F216" s="235"/>
      <x:c r="G216" s="294"/>
      <x:c r="H216" s="294"/>
      <x:c r="I216" s="235"/>
      <x:c r="J216" s="235"/>
      <x:c r="K216" s="306"/>
      <x:c r="L216" s="307" t="str">
        <x:f>IF(OR(E216="",F216="",K216=""),"",SUMIFS($K$2:$K$301,$E$2:$E$301,E216,$F$2:$F$301,F216))</x:f>
      </x:c>
      <x:c r="M216" s="308" t="str">
        <x:f>IFERROR(K216/L216,"")</x:f>
      </x:c>
      <x:c r="N216" s="235"/>
      <x:c r="O216" s="297"/>
    </x:row>
    <x:row r="217">
      <x:c r="A217" s="293"/>
      <x:c r="B217" s="235"/>
      <x:c r="C217" s="235"/>
      <x:c r="D217" s="235"/>
      <x:c r="E217" s="235"/>
      <x:c r="F217" s="235"/>
      <x:c r="G217" s="294"/>
      <x:c r="H217" s="294"/>
      <x:c r="I217" s="235"/>
      <x:c r="J217" s="235"/>
      <x:c r="K217" s="306"/>
      <x:c r="L217" s="307" t="str">
        <x:f>IF(OR(E217="",F217="",K217=""),"",SUMIFS($K$2:$K$301,$E$2:$E$301,E217,$F$2:$F$301,F217))</x:f>
      </x:c>
      <x:c r="M217" s="308" t="str">
        <x:f>IFERROR(K217/L217,"")</x:f>
      </x:c>
      <x:c r="N217" s="235"/>
      <x:c r="O217" s="297"/>
    </x:row>
    <x:row r="218">
      <x:c r="A218" s="293"/>
      <x:c r="B218" s="235"/>
      <x:c r="C218" s="235"/>
      <x:c r="D218" s="235"/>
      <x:c r="E218" s="235"/>
      <x:c r="F218" s="235"/>
      <x:c r="G218" s="294"/>
      <x:c r="H218" s="294"/>
      <x:c r="I218" s="235"/>
      <x:c r="J218" s="235"/>
      <x:c r="K218" s="306"/>
      <x:c r="L218" s="307" t="str">
        <x:f>IF(OR(E218="",F218="",K218=""),"",SUMIFS($K$2:$K$301,$E$2:$E$301,E218,$F$2:$F$301,F218))</x:f>
      </x:c>
      <x:c r="M218" s="308" t="str">
        <x:f>IFERROR(K218/L218,"")</x:f>
      </x:c>
      <x:c r="N218" s="235"/>
      <x:c r="O218" s="297"/>
    </x:row>
    <x:row r="219">
      <x:c r="A219" s="293"/>
      <x:c r="B219" s="235"/>
      <x:c r="C219" s="235"/>
      <x:c r="D219" s="235"/>
      <x:c r="E219" s="235"/>
      <x:c r="F219" s="235"/>
      <x:c r="G219" s="294"/>
      <x:c r="H219" s="294"/>
      <x:c r="I219" s="235"/>
      <x:c r="J219" s="235"/>
      <x:c r="K219" s="306"/>
      <x:c r="L219" s="307" t="str">
        <x:f>IF(OR(E219="",F219="",K219=""),"",SUMIFS($K$2:$K$301,$E$2:$E$301,E219,$F$2:$F$301,F219))</x:f>
      </x:c>
      <x:c r="M219" s="308" t="str">
        <x:f>IFERROR(K219/L219,"")</x:f>
      </x:c>
      <x:c r="N219" s="235"/>
      <x:c r="O219" s="297"/>
    </x:row>
    <x:row r="220">
      <x:c r="A220" s="293"/>
      <x:c r="B220" s="235"/>
      <x:c r="C220" s="235"/>
      <x:c r="D220" s="235"/>
      <x:c r="E220" s="235"/>
      <x:c r="F220" s="235"/>
      <x:c r="G220" s="294"/>
      <x:c r="H220" s="294"/>
      <x:c r="I220" s="235"/>
      <x:c r="J220" s="235"/>
      <x:c r="K220" s="306"/>
      <x:c r="L220" s="307" t="str">
        <x:f>IF(OR(E220="",F220="",K220=""),"",SUMIFS($K$2:$K$301,$E$2:$E$301,E220,$F$2:$F$301,F220))</x:f>
      </x:c>
      <x:c r="M220" s="308" t="str">
        <x:f>IFERROR(K220/L220,"")</x:f>
      </x:c>
      <x:c r="N220" s="235"/>
      <x:c r="O220" s="297"/>
    </x:row>
    <x:row r="221">
      <x:c r="A221" s="293"/>
      <x:c r="B221" s="235"/>
      <x:c r="C221" s="235"/>
      <x:c r="D221" s="235"/>
      <x:c r="E221" s="235"/>
      <x:c r="F221" s="235"/>
      <x:c r="G221" s="294"/>
      <x:c r="H221" s="294"/>
      <x:c r="I221" s="235"/>
      <x:c r="J221" s="235"/>
      <x:c r="K221" s="306"/>
      <x:c r="L221" s="307" t="str">
        <x:f>IF(OR(E221="",F221="",K221=""),"",SUMIFS($K$2:$K$301,$E$2:$E$301,E221,$F$2:$F$301,F221))</x:f>
      </x:c>
      <x:c r="M221" s="308" t="str">
        <x:f>IFERROR(K221/L221,"")</x:f>
      </x:c>
      <x:c r="N221" s="235"/>
      <x:c r="O221" s="297"/>
    </x:row>
    <x:row r="222">
      <x:c r="A222" s="293"/>
      <x:c r="B222" s="235"/>
      <x:c r="C222" s="235"/>
      <x:c r="D222" s="235"/>
      <x:c r="E222" s="235"/>
      <x:c r="F222" s="235"/>
      <x:c r="G222" s="294"/>
      <x:c r="H222" s="294"/>
      <x:c r="I222" s="235"/>
      <x:c r="J222" s="235"/>
      <x:c r="K222" s="306"/>
      <x:c r="L222" s="307" t="str">
        <x:f>IF(OR(E222="",F222="",K222=""),"",SUMIFS($K$2:$K$301,$E$2:$E$301,E222,$F$2:$F$301,F222))</x:f>
      </x:c>
      <x:c r="M222" s="308" t="str">
        <x:f>IFERROR(K222/L222,"")</x:f>
      </x:c>
      <x:c r="N222" s="235"/>
      <x:c r="O222" s="297"/>
    </x:row>
    <x:row r="223">
      <x:c r="A223" s="293"/>
      <x:c r="B223" s="235"/>
      <x:c r="C223" s="235"/>
      <x:c r="D223" s="235"/>
      <x:c r="E223" s="235"/>
      <x:c r="F223" s="235"/>
      <x:c r="G223" s="294"/>
      <x:c r="H223" s="294"/>
      <x:c r="I223" s="235"/>
      <x:c r="J223" s="235"/>
      <x:c r="K223" s="306"/>
      <x:c r="L223" s="307" t="str">
        <x:f>IF(OR(E223="",F223="",K223=""),"",SUMIFS($K$2:$K$301,$E$2:$E$301,E223,$F$2:$F$301,F223))</x:f>
      </x:c>
      <x:c r="M223" s="308" t="str">
        <x:f>IFERROR(K223/L223,"")</x:f>
      </x:c>
      <x:c r="N223" s="235"/>
      <x:c r="O223" s="297"/>
    </x:row>
    <x:row r="224">
      <x:c r="A224" s="293"/>
      <x:c r="B224" s="235"/>
      <x:c r="C224" s="235"/>
      <x:c r="D224" s="235"/>
      <x:c r="E224" s="235"/>
      <x:c r="F224" s="235"/>
      <x:c r="G224" s="294"/>
      <x:c r="H224" s="294"/>
      <x:c r="I224" s="235"/>
      <x:c r="J224" s="235"/>
      <x:c r="K224" s="306"/>
      <x:c r="L224" s="307" t="str">
        <x:f>IF(OR(E224="",F224="",K224=""),"",SUMIFS($K$2:$K$301,$E$2:$E$301,E224,$F$2:$F$301,F224))</x:f>
      </x:c>
      <x:c r="M224" s="308" t="str">
        <x:f>IFERROR(K224/L224,"")</x:f>
      </x:c>
      <x:c r="N224" s="235"/>
      <x:c r="O224" s="297"/>
    </x:row>
    <x:row r="225">
      <x:c r="A225" s="293"/>
      <x:c r="B225" s="235"/>
      <x:c r="C225" s="235"/>
      <x:c r="D225" s="235"/>
      <x:c r="E225" s="235"/>
      <x:c r="F225" s="235"/>
      <x:c r="G225" s="294"/>
      <x:c r="H225" s="294"/>
      <x:c r="I225" s="235"/>
      <x:c r="J225" s="235"/>
      <x:c r="K225" s="306"/>
      <x:c r="L225" s="307" t="str">
        <x:f>IF(OR(E225="",F225="",K225=""),"",SUMIFS($K$2:$K$301,$E$2:$E$301,E225,$F$2:$F$301,F225))</x:f>
      </x:c>
      <x:c r="M225" s="308" t="str">
        <x:f>IFERROR(K225/L225,"")</x:f>
      </x:c>
      <x:c r="N225" s="235"/>
      <x:c r="O225" s="297"/>
    </x:row>
    <x:row r="226">
      <x:c r="A226" s="293"/>
      <x:c r="B226" s="235"/>
      <x:c r="C226" s="235"/>
      <x:c r="D226" s="235"/>
      <x:c r="E226" s="235"/>
      <x:c r="F226" s="235"/>
      <x:c r="G226" s="294"/>
      <x:c r="H226" s="294"/>
      <x:c r="I226" s="235"/>
      <x:c r="J226" s="235"/>
      <x:c r="K226" s="306"/>
      <x:c r="L226" s="307" t="str">
        <x:f>IF(OR(E226="",F226="",K226=""),"",SUMIFS($K$2:$K$301,$E$2:$E$301,E226,$F$2:$F$301,F226))</x:f>
      </x:c>
      <x:c r="M226" s="308" t="str">
        <x:f>IFERROR(K226/L226,"")</x:f>
      </x:c>
      <x:c r="N226" s="235"/>
      <x:c r="O226" s="297"/>
    </x:row>
    <x:row r="227">
      <x:c r="A227" s="293"/>
      <x:c r="B227" s="235"/>
      <x:c r="C227" s="235"/>
      <x:c r="D227" s="235"/>
      <x:c r="E227" s="235"/>
      <x:c r="F227" s="235"/>
      <x:c r="G227" s="294"/>
      <x:c r="H227" s="294"/>
      <x:c r="I227" s="235"/>
      <x:c r="J227" s="235"/>
      <x:c r="K227" s="306"/>
      <x:c r="L227" s="307" t="str">
        <x:f>IF(OR(E227="",F227="",K227=""),"",SUMIFS($K$2:$K$301,$E$2:$E$301,E227,$F$2:$F$301,F227))</x:f>
      </x:c>
      <x:c r="M227" s="308" t="str">
        <x:f>IFERROR(K227/L227,"")</x:f>
      </x:c>
      <x:c r="N227" s="235"/>
      <x:c r="O227" s="297"/>
    </x:row>
    <x:row r="228">
      <x:c r="A228" s="293"/>
      <x:c r="B228" s="235"/>
      <x:c r="C228" s="235"/>
      <x:c r="D228" s="235"/>
      <x:c r="E228" s="235"/>
      <x:c r="F228" s="235"/>
      <x:c r="G228" s="294"/>
      <x:c r="H228" s="294"/>
      <x:c r="I228" s="235"/>
      <x:c r="J228" s="235"/>
      <x:c r="K228" s="306"/>
      <x:c r="L228" s="307" t="str">
        <x:f>IF(OR(E228="",F228="",K228=""),"",SUMIFS($K$2:$K$301,$E$2:$E$301,E228,$F$2:$F$301,F228))</x:f>
      </x:c>
      <x:c r="M228" s="308" t="str">
        <x:f>IFERROR(K228/L228,"")</x:f>
      </x:c>
      <x:c r="N228" s="235"/>
      <x:c r="O228" s="297"/>
    </x:row>
    <x:row r="229">
      <x:c r="A229" s="293"/>
      <x:c r="B229" s="235"/>
      <x:c r="C229" s="235"/>
      <x:c r="D229" s="235"/>
      <x:c r="E229" s="235"/>
      <x:c r="F229" s="235"/>
      <x:c r="G229" s="294"/>
      <x:c r="H229" s="294"/>
      <x:c r="I229" s="235"/>
      <x:c r="J229" s="235"/>
      <x:c r="K229" s="306"/>
      <x:c r="L229" s="307" t="str">
        <x:f>IF(OR(E229="",F229="",K229=""),"",SUMIFS($K$2:$K$301,$E$2:$E$301,E229,$F$2:$F$301,F229))</x:f>
      </x:c>
      <x:c r="M229" s="308" t="str">
        <x:f>IFERROR(K229/L229,"")</x:f>
      </x:c>
      <x:c r="N229" s="235"/>
      <x:c r="O229" s="297"/>
    </x:row>
    <x:row r="230">
      <x:c r="A230" s="293"/>
      <x:c r="B230" s="235"/>
      <x:c r="C230" s="235"/>
      <x:c r="D230" s="235"/>
      <x:c r="E230" s="235"/>
      <x:c r="F230" s="235"/>
      <x:c r="G230" s="294"/>
      <x:c r="H230" s="294"/>
      <x:c r="I230" s="235"/>
      <x:c r="J230" s="235"/>
      <x:c r="K230" s="306"/>
      <x:c r="L230" s="307" t="str">
        <x:f>IF(OR(E230="",F230="",K230=""),"",SUMIFS($K$2:$K$301,$E$2:$E$301,E230,$F$2:$F$301,F230))</x:f>
      </x:c>
      <x:c r="M230" s="308" t="str">
        <x:f>IFERROR(K230/L230,"")</x:f>
      </x:c>
      <x:c r="N230" s="235"/>
      <x:c r="O230" s="297"/>
    </x:row>
    <x:row r="231">
      <x:c r="A231" s="293"/>
      <x:c r="B231" s="235"/>
      <x:c r="C231" s="235"/>
      <x:c r="D231" s="235"/>
      <x:c r="E231" s="235"/>
      <x:c r="F231" s="235"/>
      <x:c r="G231" s="294"/>
      <x:c r="H231" s="294"/>
      <x:c r="I231" s="235"/>
      <x:c r="J231" s="235"/>
      <x:c r="K231" s="306"/>
      <x:c r="L231" s="307" t="str">
        <x:f>IF(OR(E231="",F231="",K231=""),"",SUMIFS($K$2:$K$301,$E$2:$E$301,E231,$F$2:$F$301,F231))</x:f>
      </x:c>
      <x:c r="M231" s="308" t="str">
        <x:f>IFERROR(K231/L231,"")</x:f>
      </x:c>
      <x:c r="N231" s="235"/>
      <x:c r="O231" s="297"/>
    </x:row>
    <x:row r="232">
      <x:c r="A232" s="293"/>
      <x:c r="B232" s="235"/>
      <x:c r="C232" s="235"/>
      <x:c r="D232" s="235"/>
      <x:c r="E232" s="235"/>
      <x:c r="F232" s="235"/>
      <x:c r="G232" s="294"/>
      <x:c r="H232" s="294"/>
      <x:c r="I232" s="235"/>
      <x:c r="J232" s="235"/>
      <x:c r="K232" s="306"/>
      <x:c r="L232" s="307" t="str">
        <x:f>IF(OR(E232="",F232="",K232=""),"",SUMIFS($K$2:$K$301,$E$2:$E$301,E232,$F$2:$F$301,F232))</x:f>
      </x:c>
      <x:c r="M232" s="308" t="str">
        <x:f>IFERROR(K232/L232,"")</x:f>
      </x:c>
      <x:c r="N232" s="235"/>
      <x:c r="O232" s="297"/>
    </x:row>
    <x:row r="233">
      <x:c r="A233" s="293"/>
      <x:c r="B233" s="235"/>
      <x:c r="C233" s="235"/>
      <x:c r="D233" s="235"/>
      <x:c r="E233" s="235"/>
      <x:c r="F233" s="235"/>
      <x:c r="G233" s="294"/>
      <x:c r="H233" s="294"/>
      <x:c r="I233" s="235"/>
      <x:c r="J233" s="235"/>
      <x:c r="K233" s="306"/>
      <x:c r="L233" s="307" t="str">
        <x:f>IF(OR(E233="",F233="",K233=""),"",SUMIFS($K$2:$K$301,$E$2:$E$301,E233,$F$2:$F$301,F233))</x:f>
      </x:c>
      <x:c r="M233" s="308" t="str">
        <x:f>IFERROR(K233/L233,"")</x:f>
      </x:c>
      <x:c r="N233" s="235"/>
      <x:c r="O233" s="297"/>
    </x:row>
    <x:row r="234">
      <x:c r="A234" s="293"/>
      <x:c r="B234" s="235"/>
      <x:c r="C234" s="235"/>
      <x:c r="D234" s="235"/>
      <x:c r="E234" s="235"/>
      <x:c r="F234" s="235"/>
      <x:c r="G234" s="294"/>
      <x:c r="H234" s="294"/>
      <x:c r="I234" s="235"/>
      <x:c r="J234" s="235"/>
      <x:c r="K234" s="306"/>
      <x:c r="L234" s="307" t="str">
        <x:f>IF(OR(E234="",F234="",K234=""),"",SUMIFS($K$2:$K$301,$E$2:$E$301,E234,$F$2:$F$301,F234))</x:f>
      </x:c>
      <x:c r="M234" s="308" t="str">
        <x:f>IFERROR(K234/L234,"")</x:f>
      </x:c>
      <x:c r="N234" s="235"/>
      <x:c r="O234" s="297"/>
    </x:row>
    <x:row r="235">
      <x:c r="A235" s="293"/>
      <x:c r="B235" s="235"/>
      <x:c r="C235" s="235"/>
      <x:c r="D235" s="235"/>
      <x:c r="E235" s="235"/>
      <x:c r="F235" s="235"/>
      <x:c r="G235" s="294"/>
      <x:c r="H235" s="294"/>
      <x:c r="I235" s="235"/>
      <x:c r="J235" s="235"/>
      <x:c r="K235" s="306"/>
      <x:c r="L235" s="307" t="str">
        <x:f>IF(OR(E235="",F235="",K235=""),"",SUMIFS($K$2:$K$301,$E$2:$E$301,E235,$F$2:$F$301,F235))</x:f>
      </x:c>
      <x:c r="M235" s="308" t="str">
        <x:f>IFERROR(K235/L235,"")</x:f>
      </x:c>
      <x:c r="N235" s="235"/>
      <x:c r="O235" s="297"/>
    </x:row>
    <x:row r="236">
      <x:c r="A236" s="293"/>
      <x:c r="B236" s="235"/>
      <x:c r="C236" s="235"/>
      <x:c r="D236" s="235"/>
      <x:c r="E236" s="235"/>
      <x:c r="F236" s="235"/>
      <x:c r="G236" s="294"/>
      <x:c r="H236" s="294"/>
      <x:c r="I236" s="235"/>
      <x:c r="J236" s="235"/>
      <x:c r="K236" s="306"/>
      <x:c r="L236" s="307" t="str">
        <x:f>IF(OR(E236="",F236="",K236=""),"",SUMIFS($K$2:$K$301,$E$2:$E$301,E236,$F$2:$F$301,F236))</x:f>
      </x:c>
      <x:c r="M236" s="308" t="str">
        <x:f>IFERROR(K236/L236,"")</x:f>
      </x:c>
      <x:c r="N236" s="235"/>
      <x:c r="O236" s="297"/>
    </x:row>
    <x:row r="237">
      <x:c r="A237" s="293"/>
      <x:c r="B237" s="235"/>
      <x:c r="C237" s="235"/>
      <x:c r="D237" s="235"/>
      <x:c r="E237" s="235"/>
      <x:c r="F237" s="235"/>
      <x:c r="G237" s="294"/>
      <x:c r="H237" s="294"/>
      <x:c r="I237" s="235"/>
      <x:c r="J237" s="235"/>
      <x:c r="K237" s="306"/>
      <x:c r="L237" s="307" t="str">
        <x:f>IF(OR(E237="",F237="",K237=""),"",SUMIFS($K$2:$K$301,$E$2:$E$301,E237,$F$2:$F$301,F237))</x:f>
      </x:c>
      <x:c r="M237" s="308" t="str">
        <x:f>IFERROR(K237/L237,"")</x:f>
      </x:c>
      <x:c r="N237" s="235"/>
      <x:c r="O237" s="297"/>
    </x:row>
    <x:row r="238">
      <x:c r="A238" s="293"/>
      <x:c r="B238" s="235"/>
      <x:c r="C238" s="235"/>
      <x:c r="D238" s="235"/>
      <x:c r="E238" s="235"/>
      <x:c r="F238" s="235"/>
      <x:c r="G238" s="294"/>
      <x:c r="H238" s="294"/>
      <x:c r="I238" s="235"/>
      <x:c r="J238" s="235"/>
      <x:c r="K238" s="306"/>
      <x:c r="L238" s="307" t="str">
        <x:f>IF(OR(E238="",F238="",K238=""),"",SUMIFS($K$2:$K$301,$E$2:$E$301,E238,$F$2:$F$301,F238))</x:f>
      </x:c>
      <x:c r="M238" s="308" t="str">
        <x:f>IFERROR(K238/L238,"")</x:f>
      </x:c>
      <x:c r="N238" s="235"/>
      <x:c r="O238" s="297"/>
    </x:row>
    <x:row r="239">
      <x:c r="A239" s="293"/>
      <x:c r="B239" s="235"/>
      <x:c r="C239" s="235"/>
      <x:c r="D239" s="235"/>
      <x:c r="E239" s="235"/>
      <x:c r="F239" s="235"/>
      <x:c r="G239" s="294"/>
      <x:c r="H239" s="294"/>
      <x:c r="I239" s="235"/>
      <x:c r="J239" s="235"/>
      <x:c r="K239" s="306"/>
      <x:c r="L239" s="307" t="str">
        <x:f>IF(OR(E239="",F239="",K239=""),"",SUMIFS($K$2:$K$301,$E$2:$E$301,E239,$F$2:$F$301,F239))</x:f>
      </x:c>
      <x:c r="M239" s="308" t="str">
        <x:f>IFERROR(K239/L239,"")</x:f>
      </x:c>
      <x:c r="N239" s="235"/>
      <x:c r="O239" s="297"/>
    </x:row>
    <x:row r="240">
      <x:c r="A240" s="293"/>
      <x:c r="B240" s="235"/>
      <x:c r="C240" s="235"/>
      <x:c r="D240" s="235"/>
      <x:c r="E240" s="235"/>
      <x:c r="F240" s="235"/>
      <x:c r="G240" s="294"/>
      <x:c r="H240" s="294"/>
      <x:c r="I240" s="235"/>
      <x:c r="J240" s="235"/>
      <x:c r="K240" s="306"/>
      <x:c r="L240" s="307" t="str">
        <x:f>IF(OR(E240="",F240="",K240=""),"",SUMIFS($K$2:$K$301,$E$2:$E$301,E240,$F$2:$F$301,F240))</x:f>
      </x:c>
      <x:c r="M240" s="308" t="str">
        <x:f>IFERROR(K240/L240,"")</x:f>
      </x:c>
      <x:c r="N240" s="235"/>
      <x:c r="O240" s="297"/>
    </x:row>
    <x:row r="241">
      <x:c r="A241" s="293"/>
      <x:c r="B241" s="235"/>
      <x:c r="C241" s="235"/>
      <x:c r="D241" s="235"/>
      <x:c r="E241" s="235"/>
      <x:c r="F241" s="235"/>
      <x:c r="G241" s="294"/>
      <x:c r="H241" s="294"/>
      <x:c r="I241" s="235"/>
      <x:c r="J241" s="235"/>
      <x:c r="K241" s="306"/>
      <x:c r="L241" s="307" t="str">
        <x:f>IF(OR(E241="",F241="",K241=""),"",SUMIFS($K$2:$K$301,$E$2:$E$301,E241,$F$2:$F$301,F241))</x:f>
      </x:c>
      <x:c r="M241" s="308" t="str">
        <x:f>IFERROR(K241/L241,"")</x:f>
      </x:c>
      <x:c r="N241" s="235"/>
      <x:c r="O241" s="297"/>
    </x:row>
    <x:row r="242">
      <x:c r="A242" s="293"/>
      <x:c r="B242" s="235"/>
      <x:c r="C242" s="235"/>
      <x:c r="D242" s="235"/>
      <x:c r="E242" s="235"/>
      <x:c r="F242" s="235"/>
      <x:c r="G242" s="294"/>
      <x:c r="H242" s="294"/>
      <x:c r="I242" s="235"/>
      <x:c r="J242" s="235"/>
      <x:c r="K242" s="306"/>
      <x:c r="L242" s="307" t="str">
        <x:f>IF(OR(E242="",F242="",K242=""),"",SUMIFS($K$2:$K$301,$E$2:$E$301,E242,$F$2:$F$301,F242))</x:f>
      </x:c>
      <x:c r="M242" s="308" t="str">
        <x:f>IFERROR(K242/L242,"")</x:f>
      </x:c>
      <x:c r="N242" s="235"/>
      <x:c r="O242" s="297"/>
    </x:row>
    <x:row r="243">
      <x:c r="A243" s="293"/>
      <x:c r="B243" s="235"/>
      <x:c r="C243" s="235"/>
      <x:c r="D243" s="235"/>
      <x:c r="E243" s="235"/>
      <x:c r="F243" s="235"/>
      <x:c r="G243" s="294"/>
      <x:c r="H243" s="294"/>
      <x:c r="I243" s="235"/>
      <x:c r="J243" s="235"/>
      <x:c r="K243" s="306"/>
      <x:c r="L243" s="307" t="str">
        <x:f>IF(OR(E243="",F243="",K243=""),"",SUMIFS($K$2:$K$301,$E$2:$E$301,E243,$F$2:$F$301,F243))</x:f>
      </x:c>
      <x:c r="M243" s="308" t="str">
        <x:f>IFERROR(K243/L243,"")</x:f>
      </x:c>
      <x:c r="N243" s="235"/>
      <x:c r="O243" s="297"/>
    </x:row>
    <x:row r="244">
      <x:c r="A244" s="293"/>
      <x:c r="B244" s="235"/>
      <x:c r="C244" s="235"/>
      <x:c r="D244" s="235"/>
      <x:c r="E244" s="235"/>
      <x:c r="F244" s="235"/>
      <x:c r="G244" s="294"/>
      <x:c r="H244" s="294"/>
      <x:c r="I244" s="235"/>
      <x:c r="J244" s="235"/>
      <x:c r="K244" s="306"/>
      <x:c r="L244" s="307" t="str">
        <x:f>IF(OR(E244="",F244="",K244=""),"",SUMIFS($K$2:$K$301,$E$2:$E$301,E244,$F$2:$F$301,F244))</x:f>
      </x:c>
      <x:c r="M244" s="308" t="str">
        <x:f>IFERROR(K244/L244,"")</x:f>
      </x:c>
      <x:c r="N244" s="235"/>
      <x:c r="O244" s="297"/>
    </x:row>
    <x:row r="245">
      <x:c r="A245" s="293"/>
      <x:c r="B245" s="235"/>
      <x:c r="C245" s="235"/>
      <x:c r="D245" s="235"/>
      <x:c r="E245" s="235"/>
      <x:c r="F245" s="235"/>
      <x:c r="G245" s="294"/>
      <x:c r="H245" s="294"/>
      <x:c r="I245" s="235"/>
      <x:c r="J245" s="235"/>
      <x:c r="K245" s="306"/>
      <x:c r="L245" s="307" t="str">
        <x:f>IF(OR(E245="",F245="",K245=""),"",SUMIFS($K$2:$K$301,$E$2:$E$301,E245,$F$2:$F$301,F245))</x:f>
      </x:c>
      <x:c r="M245" s="308" t="str">
        <x:f>IFERROR(K245/L245,"")</x:f>
      </x:c>
      <x:c r="N245" s="235"/>
      <x:c r="O245" s="297"/>
    </x:row>
    <x:row r="246">
      <x:c r="A246" s="293"/>
      <x:c r="B246" s="235"/>
      <x:c r="C246" s="235"/>
      <x:c r="D246" s="235"/>
      <x:c r="E246" s="235"/>
      <x:c r="F246" s="235"/>
      <x:c r="G246" s="294"/>
      <x:c r="H246" s="294"/>
      <x:c r="I246" s="235"/>
      <x:c r="J246" s="235"/>
      <x:c r="K246" s="306"/>
      <x:c r="L246" s="307" t="str">
        <x:f>IF(OR(E246="",F246="",K246=""),"",SUMIFS($K$2:$K$301,$E$2:$E$301,E246,$F$2:$F$301,F246))</x:f>
      </x:c>
      <x:c r="M246" s="308" t="str">
        <x:f>IFERROR(K246/L246,"")</x:f>
      </x:c>
      <x:c r="N246" s="235"/>
      <x:c r="O246" s="297"/>
    </x:row>
    <x:row r="247">
      <x:c r="A247" s="293"/>
      <x:c r="B247" s="235"/>
      <x:c r="C247" s="235"/>
      <x:c r="D247" s="235"/>
      <x:c r="E247" s="235"/>
      <x:c r="F247" s="235"/>
      <x:c r="G247" s="294"/>
      <x:c r="H247" s="294"/>
      <x:c r="I247" s="235"/>
      <x:c r="J247" s="235"/>
      <x:c r="K247" s="306"/>
      <x:c r="L247" s="307" t="str">
        <x:f>IF(OR(E247="",F247="",K247=""),"",SUMIFS($K$2:$K$301,$E$2:$E$301,E247,$F$2:$F$301,F247))</x:f>
      </x:c>
      <x:c r="M247" s="308" t="str">
        <x:f>IFERROR(K247/L247,"")</x:f>
      </x:c>
      <x:c r="N247" s="235"/>
      <x:c r="O247" s="297"/>
    </x:row>
    <x:row r="248">
      <x:c r="A248" s="293"/>
      <x:c r="B248" s="235"/>
      <x:c r="C248" s="235"/>
      <x:c r="D248" s="235"/>
      <x:c r="E248" s="235"/>
      <x:c r="F248" s="235"/>
      <x:c r="G248" s="294"/>
      <x:c r="H248" s="294"/>
      <x:c r="I248" s="235"/>
      <x:c r="J248" s="235"/>
      <x:c r="K248" s="306"/>
      <x:c r="L248" s="307" t="str">
        <x:f>IF(OR(E248="",F248="",K248=""),"",SUMIFS($K$2:$K$301,$E$2:$E$301,E248,$F$2:$F$301,F248))</x:f>
      </x:c>
      <x:c r="M248" s="308" t="str">
        <x:f>IFERROR(K248/L248,"")</x:f>
      </x:c>
      <x:c r="N248" s="235"/>
      <x:c r="O248" s="297"/>
    </x:row>
    <x:row r="249">
      <x:c r="A249" s="293"/>
      <x:c r="B249" s="235"/>
      <x:c r="C249" s="235"/>
      <x:c r="D249" s="235"/>
      <x:c r="E249" s="235"/>
      <x:c r="F249" s="235"/>
      <x:c r="G249" s="294"/>
      <x:c r="H249" s="294"/>
      <x:c r="I249" s="235"/>
      <x:c r="J249" s="235"/>
      <x:c r="K249" s="306"/>
      <x:c r="L249" s="307" t="str">
        <x:f>IF(OR(E249="",F249="",K249=""),"",SUMIFS($K$2:$K$301,$E$2:$E$301,E249,$F$2:$F$301,F249))</x:f>
      </x:c>
      <x:c r="M249" s="308" t="str">
        <x:f>IFERROR(K249/L249,"")</x:f>
      </x:c>
      <x:c r="N249" s="235"/>
      <x:c r="O249" s="297"/>
    </x:row>
    <x:row r="250">
      <x:c r="A250" s="293"/>
      <x:c r="B250" s="235"/>
      <x:c r="C250" s="235"/>
      <x:c r="D250" s="235"/>
      <x:c r="E250" s="235"/>
      <x:c r="F250" s="235"/>
      <x:c r="G250" s="294"/>
      <x:c r="H250" s="294"/>
      <x:c r="I250" s="235"/>
      <x:c r="J250" s="235"/>
      <x:c r="K250" s="306"/>
      <x:c r="L250" s="307" t="str">
        <x:f>IF(OR(E250="",F250="",K250=""),"",SUMIFS($K$2:$K$301,$E$2:$E$301,E250,$F$2:$F$301,F250))</x:f>
      </x:c>
      <x:c r="M250" s="308" t="str">
        <x:f>IFERROR(K250/L250,"")</x:f>
      </x:c>
      <x:c r="N250" s="235"/>
      <x:c r="O250" s="297"/>
    </x:row>
    <x:row r="251">
      <x:c r="A251" s="293"/>
      <x:c r="B251" s="235"/>
      <x:c r="C251" s="235"/>
      <x:c r="D251" s="235"/>
      <x:c r="E251" s="235"/>
      <x:c r="F251" s="235"/>
      <x:c r="G251" s="294"/>
      <x:c r="H251" s="294"/>
      <x:c r="I251" s="235"/>
      <x:c r="J251" s="235"/>
      <x:c r="K251" s="306"/>
      <x:c r="L251" s="307" t="str">
        <x:f>IF(OR(E251="",F251="",K251=""),"",SUMIFS($K$2:$K$301,$E$2:$E$301,E251,$F$2:$F$301,F251))</x:f>
      </x:c>
      <x:c r="M251" s="308" t="str">
        <x:f>IFERROR(K251/L251,"")</x:f>
      </x:c>
      <x:c r="N251" s="235"/>
      <x:c r="O251" s="297"/>
    </x:row>
    <x:row r="252">
      <x:c r="A252" s="293"/>
      <x:c r="B252" s="235"/>
      <x:c r="C252" s="235"/>
      <x:c r="D252" s="235"/>
      <x:c r="E252" s="235"/>
      <x:c r="F252" s="235"/>
      <x:c r="G252" s="294"/>
      <x:c r="H252" s="294"/>
      <x:c r="I252" s="235"/>
      <x:c r="J252" s="235"/>
      <x:c r="K252" s="306"/>
      <x:c r="L252" s="307" t="str">
        <x:f>IF(OR(E252="",F252="",K252=""),"",SUMIFS($K$2:$K$301,$E$2:$E$301,E252,$F$2:$F$301,F252))</x:f>
      </x:c>
      <x:c r="M252" s="308" t="str">
        <x:f>IFERROR(K252/L252,"")</x:f>
      </x:c>
      <x:c r="N252" s="235"/>
      <x:c r="O252" s="297"/>
    </x:row>
    <x:row r="253">
      <x:c r="A253" s="293"/>
      <x:c r="B253" s="235"/>
      <x:c r="C253" s="235"/>
      <x:c r="D253" s="235"/>
      <x:c r="E253" s="235"/>
      <x:c r="F253" s="235"/>
      <x:c r="G253" s="294"/>
      <x:c r="H253" s="294"/>
      <x:c r="I253" s="235"/>
      <x:c r="J253" s="235"/>
      <x:c r="K253" s="306"/>
      <x:c r="L253" s="307" t="str">
        <x:f>IF(OR(E253="",F253="",K253=""),"",SUMIFS($K$2:$K$301,$E$2:$E$301,E253,$F$2:$F$301,F253))</x:f>
      </x:c>
      <x:c r="M253" s="308" t="str">
        <x:f>IFERROR(K253/L253,"")</x:f>
      </x:c>
      <x:c r="N253" s="235"/>
      <x:c r="O253" s="297"/>
    </x:row>
    <x:row r="254">
      <x:c r="A254" s="293"/>
      <x:c r="B254" s="235"/>
      <x:c r="C254" s="235"/>
      <x:c r="D254" s="235"/>
      <x:c r="E254" s="235"/>
      <x:c r="F254" s="235"/>
      <x:c r="G254" s="294"/>
      <x:c r="H254" s="294"/>
      <x:c r="I254" s="235"/>
      <x:c r="J254" s="235"/>
      <x:c r="K254" s="306"/>
      <x:c r="L254" s="307" t="str">
        <x:f>IF(OR(E254="",F254="",K254=""),"",SUMIFS($K$2:$K$301,$E$2:$E$301,E254,$F$2:$F$301,F254))</x:f>
      </x:c>
      <x:c r="M254" s="308" t="str">
        <x:f>IFERROR(K254/L254,"")</x:f>
      </x:c>
      <x:c r="N254" s="235"/>
      <x:c r="O254" s="297"/>
    </x:row>
    <x:row r="255">
      <x:c r="A255" s="293"/>
      <x:c r="B255" s="235"/>
      <x:c r="C255" s="235"/>
      <x:c r="D255" s="235"/>
      <x:c r="E255" s="235"/>
      <x:c r="F255" s="235"/>
      <x:c r="G255" s="294"/>
      <x:c r="H255" s="294"/>
      <x:c r="I255" s="235"/>
      <x:c r="J255" s="235"/>
      <x:c r="K255" s="306"/>
      <x:c r="L255" s="307" t="str">
        <x:f>IF(OR(E255="",F255="",K255=""),"",SUMIFS($K$2:$K$301,$E$2:$E$301,E255,$F$2:$F$301,F255))</x:f>
      </x:c>
      <x:c r="M255" s="308" t="str">
        <x:f>IFERROR(K255/L255,"")</x:f>
      </x:c>
      <x:c r="N255" s="235"/>
      <x:c r="O255" s="297"/>
    </x:row>
    <x:row r="256">
      <x:c r="A256" s="293"/>
      <x:c r="B256" s="235"/>
      <x:c r="C256" s="235"/>
      <x:c r="D256" s="235"/>
      <x:c r="E256" s="235"/>
      <x:c r="F256" s="235"/>
      <x:c r="G256" s="294"/>
      <x:c r="H256" s="294"/>
      <x:c r="I256" s="235"/>
      <x:c r="J256" s="235"/>
      <x:c r="K256" s="306"/>
      <x:c r="L256" s="307" t="str">
        <x:f>IF(OR(E256="",F256="",K256=""),"",SUMIFS($K$2:$K$301,$E$2:$E$301,E256,$F$2:$F$301,F256))</x:f>
      </x:c>
      <x:c r="M256" s="308" t="str">
        <x:f>IFERROR(K256/L256,"")</x:f>
      </x:c>
      <x:c r="N256" s="235"/>
      <x:c r="O256" s="297"/>
    </x:row>
    <x:row r="257">
      <x:c r="A257" s="293"/>
      <x:c r="B257" s="235"/>
      <x:c r="C257" s="235"/>
      <x:c r="D257" s="235"/>
      <x:c r="E257" s="235"/>
      <x:c r="F257" s="235"/>
      <x:c r="G257" s="294"/>
      <x:c r="H257" s="294"/>
      <x:c r="I257" s="235"/>
      <x:c r="J257" s="235"/>
      <x:c r="K257" s="306"/>
      <x:c r="L257" s="307" t="str">
        <x:f>IF(OR(E257="",F257="",K257=""),"",SUMIFS($K$2:$K$301,$E$2:$E$301,E257,$F$2:$F$301,F257))</x:f>
      </x:c>
      <x:c r="M257" s="308" t="str">
        <x:f>IFERROR(K257/L257,"")</x:f>
      </x:c>
      <x:c r="N257" s="235"/>
      <x:c r="O257" s="297"/>
    </x:row>
    <x:row r="258">
      <x:c r="A258" s="293"/>
      <x:c r="B258" s="235"/>
      <x:c r="C258" s="235"/>
      <x:c r="D258" s="235"/>
      <x:c r="E258" s="235"/>
      <x:c r="F258" s="235"/>
      <x:c r="G258" s="294"/>
      <x:c r="H258" s="294"/>
      <x:c r="I258" s="235"/>
      <x:c r="J258" s="235"/>
      <x:c r="K258" s="306"/>
      <x:c r="L258" s="307" t="str">
        <x:f>IF(OR(E258="",F258="",K258=""),"",SUMIFS($K$2:$K$301,$E$2:$E$301,E258,$F$2:$F$301,F258))</x:f>
      </x:c>
      <x:c r="M258" s="308" t="str">
        <x:f>IFERROR(K258/L258,"")</x:f>
      </x:c>
      <x:c r="N258" s="235"/>
      <x:c r="O258" s="297"/>
    </x:row>
    <x:row r="259">
      <x:c r="A259" s="293"/>
      <x:c r="B259" s="235"/>
      <x:c r="C259" s="235"/>
      <x:c r="D259" s="235"/>
      <x:c r="E259" s="235"/>
      <x:c r="F259" s="235"/>
      <x:c r="G259" s="294"/>
      <x:c r="H259" s="294"/>
      <x:c r="I259" s="235"/>
      <x:c r="J259" s="235"/>
      <x:c r="K259" s="306"/>
      <x:c r="L259" s="307" t="str">
        <x:f>IF(OR(E259="",F259="",K259=""),"",SUMIFS($K$2:$K$301,$E$2:$E$301,E259,$F$2:$F$301,F259))</x:f>
      </x:c>
      <x:c r="M259" s="308" t="str">
        <x:f>IFERROR(K259/L259,"")</x:f>
      </x:c>
      <x:c r="N259" s="235"/>
      <x:c r="O259" s="297"/>
    </x:row>
    <x:row r="260">
      <x:c r="A260" s="293"/>
      <x:c r="B260" s="235"/>
      <x:c r="C260" s="235"/>
      <x:c r="D260" s="235"/>
      <x:c r="E260" s="235"/>
      <x:c r="F260" s="235"/>
      <x:c r="G260" s="294"/>
      <x:c r="H260" s="294"/>
      <x:c r="I260" s="235"/>
      <x:c r="J260" s="235"/>
      <x:c r="K260" s="306"/>
      <x:c r="L260" s="307" t="str">
        <x:f>IF(OR(E260="",F260="",K260=""),"",SUMIFS($K$2:$K$301,$E$2:$E$301,E260,$F$2:$F$301,F260))</x:f>
      </x:c>
      <x:c r="M260" s="308" t="str">
        <x:f>IFERROR(K260/L260,"")</x:f>
      </x:c>
      <x:c r="N260" s="235"/>
      <x:c r="O260" s="297"/>
    </x:row>
    <x:row r="261">
      <x:c r="A261" s="293"/>
      <x:c r="B261" s="235"/>
      <x:c r="C261" s="235"/>
      <x:c r="D261" s="235"/>
      <x:c r="E261" s="235"/>
      <x:c r="F261" s="235"/>
      <x:c r="G261" s="294"/>
      <x:c r="H261" s="294"/>
      <x:c r="I261" s="235"/>
      <x:c r="J261" s="235"/>
      <x:c r="K261" s="306"/>
      <x:c r="L261" s="307" t="str">
        <x:f>IF(OR(E261="",F261="",K261=""),"",SUMIFS($K$2:$K$301,$E$2:$E$301,E261,$F$2:$F$301,F261))</x:f>
      </x:c>
      <x:c r="M261" s="308" t="str">
        <x:f>IFERROR(K261/L261,"")</x:f>
      </x:c>
      <x:c r="N261" s="235"/>
      <x:c r="O261" s="297"/>
    </x:row>
    <x:row r="262">
      <x:c r="A262" s="293"/>
      <x:c r="B262" s="235"/>
      <x:c r="C262" s="235"/>
      <x:c r="D262" s="235"/>
      <x:c r="E262" s="235"/>
      <x:c r="F262" s="235"/>
      <x:c r="G262" s="294"/>
      <x:c r="H262" s="294"/>
      <x:c r="I262" s="235"/>
      <x:c r="J262" s="235"/>
      <x:c r="K262" s="306"/>
      <x:c r="L262" s="307" t="str">
        <x:f>IF(OR(E262="",F262="",K262=""),"",SUMIFS($K$2:$K$301,$E$2:$E$301,E262,$F$2:$F$301,F262))</x:f>
      </x:c>
      <x:c r="M262" s="308" t="str">
        <x:f>IFERROR(K262/L262,"")</x:f>
      </x:c>
      <x:c r="N262" s="235"/>
      <x:c r="O262" s="297"/>
    </x:row>
    <x:row r="263">
      <x:c r="A263" s="293"/>
      <x:c r="B263" s="235"/>
      <x:c r="C263" s="235"/>
      <x:c r="D263" s="235"/>
      <x:c r="E263" s="235"/>
      <x:c r="F263" s="235"/>
      <x:c r="G263" s="294"/>
      <x:c r="H263" s="294"/>
      <x:c r="I263" s="235"/>
      <x:c r="J263" s="235"/>
      <x:c r="K263" s="306"/>
      <x:c r="L263" s="307" t="str">
        <x:f>IF(OR(E263="",F263="",K263=""),"",SUMIFS($K$2:$K$301,$E$2:$E$301,E263,$F$2:$F$301,F263))</x:f>
      </x:c>
      <x:c r="M263" s="308" t="str">
        <x:f>IFERROR(K263/L263,"")</x:f>
      </x:c>
      <x:c r="N263" s="235"/>
      <x:c r="O263" s="297"/>
    </x:row>
    <x:row r="264">
      <x:c r="A264" s="293"/>
      <x:c r="B264" s="235"/>
      <x:c r="C264" s="235"/>
      <x:c r="D264" s="235"/>
      <x:c r="E264" s="235"/>
      <x:c r="F264" s="235"/>
      <x:c r="G264" s="294"/>
      <x:c r="H264" s="294"/>
      <x:c r="I264" s="235"/>
      <x:c r="J264" s="235"/>
      <x:c r="K264" s="306"/>
      <x:c r="L264" s="307" t="str">
        <x:f>IF(OR(E264="",F264="",K264=""),"",SUMIFS($K$2:$K$301,$E$2:$E$301,E264,$F$2:$F$301,F264))</x:f>
      </x:c>
      <x:c r="M264" s="308" t="str">
        <x:f>IFERROR(K264/L264,"")</x:f>
      </x:c>
      <x:c r="N264" s="235"/>
      <x:c r="O264" s="297"/>
    </x:row>
    <x:row r="265">
      <x:c r="A265" s="293"/>
      <x:c r="B265" s="235"/>
      <x:c r="C265" s="235"/>
      <x:c r="D265" s="235"/>
      <x:c r="E265" s="235"/>
      <x:c r="F265" s="235"/>
      <x:c r="G265" s="294"/>
      <x:c r="H265" s="294"/>
      <x:c r="I265" s="235"/>
      <x:c r="J265" s="235"/>
      <x:c r="K265" s="306"/>
      <x:c r="L265" s="307" t="str">
        <x:f>IF(OR(E265="",F265="",K265=""),"",SUMIFS($K$2:$K$301,$E$2:$E$301,E265,$F$2:$F$301,F265))</x:f>
      </x:c>
      <x:c r="M265" s="308" t="str">
        <x:f>IFERROR(K265/L265,"")</x:f>
      </x:c>
      <x:c r="N265" s="235"/>
      <x:c r="O265" s="297"/>
    </x:row>
    <x:row r="266">
      <x:c r="A266" s="293"/>
      <x:c r="B266" s="235"/>
      <x:c r="C266" s="235"/>
      <x:c r="D266" s="235"/>
      <x:c r="E266" s="235"/>
      <x:c r="F266" s="235"/>
      <x:c r="G266" s="294"/>
      <x:c r="H266" s="294"/>
      <x:c r="I266" s="235"/>
      <x:c r="J266" s="235"/>
      <x:c r="K266" s="306"/>
      <x:c r="L266" s="307" t="str">
        <x:f>IF(OR(E266="",F266="",K266=""),"",SUMIFS($K$2:$K$301,$E$2:$E$301,E266,$F$2:$F$301,F266))</x:f>
      </x:c>
      <x:c r="M266" s="308" t="str">
        <x:f>IFERROR(K266/L266,"")</x:f>
      </x:c>
      <x:c r="N266" s="235"/>
      <x:c r="O266" s="297"/>
    </x:row>
    <x:row r="267">
      <x:c r="A267" s="293"/>
      <x:c r="B267" s="235"/>
      <x:c r="C267" s="235"/>
      <x:c r="D267" s="235"/>
      <x:c r="E267" s="235"/>
      <x:c r="F267" s="235"/>
      <x:c r="G267" s="294"/>
      <x:c r="H267" s="294"/>
      <x:c r="I267" s="235"/>
      <x:c r="J267" s="235"/>
      <x:c r="K267" s="306"/>
      <x:c r="L267" s="307" t="str">
        <x:f>IF(OR(E267="",F267="",K267=""),"",SUMIFS($K$2:$K$301,$E$2:$E$301,E267,$F$2:$F$301,F267))</x:f>
      </x:c>
      <x:c r="M267" s="308" t="str">
        <x:f>IFERROR(K267/L267,"")</x:f>
      </x:c>
      <x:c r="N267" s="235"/>
      <x:c r="O267" s="297"/>
    </x:row>
    <x:row r="268">
      <x:c r="A268" s="293"/>
      <x:c r="B268" s="235"/>
      <x:c r="C268" s="235"/>
      <x:c r="D268" s="235"/>
      <x:c r="E268" s="235"/>
      <x:c r="F268" s="235"/>
      <x:c r="G268" s="294"/>
      <x:c r="H268" s="294"/>
      <x:c r="I268" s="235"/>
      <x:c r="J268" s="235"/>
      <x:c r="K268" s="306"/>
      <x:c r="L268" s="307" t="str">
        <x:f>IF(OR(E268="",F268="",K268=""),"",SUMIFS($K$2:$K$301,$E$2:$E$301,E268,$F$2:$F$301,F268))</x:f>
      </x:c>
      <x:c r="M268" s="308" t="str">
        <x:f>IFERROR(K268/L268,"")</x:f>
      </x:c>
      <x:c r="N268" s="235"/>
      <x:c r="O268" s="297"/>
    </x:row>
    <x:row r="269">
      <x:c r="A269" s="293"/>
      <x:c r="B269" s="235"/>
      <x:c r="C269" s="235"/>
      <x:c r="D269" s="235"/>
      <x:c r="E269" s="235"/>
      <x:c r="F269" s="235"/>
      <x:c r="G269" s="294"/>
      <x:c r="H269" s="294"/>
      <x:c r="I269" s="235"/>
      <x:c r="J269" s="235"/>
      <x:c r="K269" s="306"/>
      <x:c r="L269" s="307" t="str">
        <x:f>IF(OR(E269="",F269="",K269=""),"",SUMIFS($K$2:$K$301,$E$2:$E$301,E269,$F$2:$F$301,F269))</x:f>
      </x:c>
      <x:c r="M269" s="308" t="str">
        <x:f>IFERROR(K269/L269,"")</x:f>
      </x:c>
      <x:c r="N269" s="235"/>
      <x:c r="O269" s="297"/>
    </x:row>
    <x:row r="270">
      <x:c r="A270" s="293"/>
      <x:c r="B270" s="235"/>
      <x:c r="C270" s="235"/>
      <x:c r="D270" s="235"/>
      <x:c r="E270" s="235"/>
      <x:c r="F270" s="235"/>
      <x:c r="G270" s="294"/>
      <x:c r="H270" s="294"/>
      <x:c r="I270" s="235"/>
      <x:c r="J270" s="235"/>
      <x:c r="K270" s="306"/>
      <x:c r="L270" s="307" t="str">
        <x:f>IF(OR(E270="",F270="",K270=""),"",SUMIFS($K$2:$K$301,$E$2:$E$301,E270,$F$2:$F$301,F270))</x:f>
      </x:c>
      <x:c r="M270" s="308" t="str">
        <x:f>IFERROR(K270/L270,"")</x:f>
      </x:c>
      <x:c r="N270" s="235"/>
      <x:c r="O270" s="297"/>
    </x:row>
    <x:row r="271">
      <x:c r="A271" s="293"/>
      <x:c r="B271" s="235"/>
      <x:c r="C271" s="235"/>
      <x:c r="D271" s="235"/>
      <x:c r="E271" s="235"/>
      <x:c r="F271" s="235"/>
      <x:c r="G271" s="294"/>
      <x:c r="H271" s="294"/>
      <x:c r="I271" s="235"/>
      <x:c r="J271" s="235"/>
      <x:c r="K271" s="306"/>
      <x:c r="L271" s="307" t="str">
        <x:f>IF(OR(E271="",F271="",K271=""),"",SUMIFS($K$2:$K$301,$E$2:$E$301,E271,$F$2:$F$301,F271))</x:f>
      </x:c>
      <x:c r="M271" s="308" t="str">
        <x:f>IFERROR(K271/L271,"")</x:f>
      </x:c>
      <x:c r="N271" s="235"/>
      <x:c r="O271" s="297"/>
    </x:row>
    <x:row r="272">
      <x:c r="A272" s="293"/>
      <x:c r="B272" s="235"/>
      <x:c r="C272" s="235"/>
      <x:c r="D272" s="235"/>
      <x:c r="E272" s="235"/>
      <x:c r="F272" s="235"/>
      <x:c r="G272" s="294"/>
      <x:c r="H272" s="294"/>
      <x:c r="I272" s="235"/>
      <x:c r="J272" s="235"/>
      <x:c r="K272" s="306"/>
      <x:c r="L272" s="307" t="str">
        <x:f>IF(OR(E272="",F272="",K272=""),"",SUMIFS($K$2:$K$301,$E$2:$E$301,E272,$F$2:$F$301,F272))</x:f>
      </x:c>
      <x:c r="M272" s="308" t="str">
        <x:f>IFERROR(K272/L272,"")</x:f>
      </x:c>
      <x:c r="N272" s="235"/>
      <x:c r="O272" s="297"/>
    </x:row>
    <x:row r="273">
      <x:c r="A273" s="293"/>
      <x:c r="B273" s="235"/>
      <x:c r="C273" s="235"/>
      <x:c r="D273" s="235"/>
      <x:c r="E273" s="235"/>
      <x:c r="F273" s="235"/>
      <x:c r="G273" s="294"/>
      <x:c r="H273" s="294"/>
      <x:c r="I273" s="235"/>
      <x:c r="J273" s="235"/>
      <x:c r="K273" s="306"/>
      <x:c r="L273" s="307" t="str">
        <x:f>IF(OR(E273="",F273="",K273=""),"",SUMIFS($K$2:$K$301,$E$2:$E$301,E273,$F$2:$F$301,F273))</x:f>
      </x:c>
      <x:c r="M273" s="308" t="str">
        <x:f>IFERROR(K273/L273,"")</x:f>
      </x:c>
      <x:c r="N273" s="235"/>
      <x:c r="O273" s="297"/>
    </x:row>
    <x:row r="274">
      <x:c r="A274" s="293"/>
      <x:c r="B274" s="235"/>
      <x:c r="C274" s="235"/>
      <x:c r="D274" s="235"/>
      <x:c r="E274" s="235"/>
      <x:c r="F274" s="235"/>
      <x:c r="G274" s="294"/>
      <x:c r="H274" s="294"/>
      <x:c r="I274" s="235"/>
      <x:c r="J274" s="235"/>
      <x:c r="K274" s="306"/>
      <x:c r="L274" s="307" t="str">
        <x:f>IF(OR(E274="",F274="",K274=""),"",SUMIFS($K$2:$K$301,$E$2:$E$301,E274,$F$2:$F$301,F274))</x:f>
      </x:c>
      <x:c r="M274" s="308" t="str">
        <x:f>IFERROR(K274/L274,"")</x:f>
      </x:c>
      <x:c r="N274" s="235"/>
      <x:c r="O274" s="297"/>
    </x:row>
    <x:row r="275">
      <x:c r="A275" s="293"/>
      <x:c r="B275" s="235"/>
      <x:c r="C275" s="235"/>
      <x:c r="D275" s="235"/>
      <x:c r="E275" s="235"/>
      <x:c r="F275" s="235"/>
      <x:c r="G275" s="294"/>
      <x:c r="H275" s="294"/>
      <x:c r="I275" s="235"/>
      <x:c r="J275" s="235"/>
      <x:c r="K275" s="306"/>
      <x:c r="L275" s="307" t="str">
        <x:f>IF(OR(E275="",F275="",K275=""),"",SUMIFS($K$2:$K$301,$E$2:$E$301,E275,$F$2:$F$301,F275))</x:f>
      </x:c>
      <x:c r="M275" s="308" t="str">
        <x:f>IFERROR(K275/L275,"")</x:f>
      </x:c>
      <x:c r="N275" s="235"/>
      <x:c r="O275" s="297"/>
    </x:row>
    <x:row r="276">
      <x:c r="A276" s="293"/>
      <x:c r="B276" s="235"/>
      <x:c r="C276" s="235"/>
      <x:c r="D276" s="235"/>
      <x:c r="E276" s="235"/>
      <x:c r="F276" s="235"/>
      <x:c r="G276" s="294"/>
      <x:c r="H276" s="294"/>
      <x:c r="I276" s="235"/>
      <x:c r="J276" s="235"/>
      <x:c r="K276" s="306"/>
      <x:c r="L276" s="307" t="str">
        <x:f>IF(OR(E276="",F276="",K276=""),"",SUMIFS($K$2:$K$301,$E$2:$E$301,E276,$F$2:$F$301,F276))</x:f>
      </x:c>
      <x:c r="M276" s="308" t="str">
        <x:f>IFERROR(K276/L276,"")</x:f>
      </x:c>
      <x:c r="N276" s="235"/>
      <x:c r="O276" s="297"/>
    </x:row>
    <x:row r="277">
      <x:c r="A277" s="293"/>
      <x:c r="B277" s="235"/>
      <x:c r="C277" s="235"/>
      <x:c r="D277" s="235"/>
      <x:c r="E277" s="235"/>
      <x:c r="F277" s="235"/>
      <x:c r="G277" s="294"/>
      <x:c r="H277" s="294"/>
      <x:c r="I277" s="235"/>
      <x:c r="J277" s="235"/>
      <x:c r="K277" s="306"/>
      <x:c r="L277" s="307" t="str">
        <x:f>IF(OR(E277="",F277="",K277=""),"",SUMIFS($K$2:$K$301,$E$2:$E$301,E277,$F$2:$F$301,F277))</x:f>
      </x:c>
      <x:c r="M277" s="308" t="str">
        <x:f>IFERROR(K277/L277,"")</x:f>
      </x:c>
      <x:c r="N277" s="235"/>
      <x:c r="O277" s="297"/>
    </x:row>
    <x:row r="278">
      <x:c r="A278" s="293"/>
      <x:c r="B278" s="235"/>
      <x:c r="C278" s="235"/>
      <x:c r="D278" s="235"/>
      <x:c r="E278" s="235"/>
      <x:c r="F278" s="235"/>
      <x:c r="G278" s="294"/>
      <x:c r="H278" s="294"/>
      <x:c r="I278" s="235"/>
      <x:c r="J278" s="235"/>
      <x:c r="K278" s="306"/>
      <x:c r="L278" s="307" t="str">
        <x:f>IF(OR(E278="",F278="",K278=""),"",SUMIFS($K$2:$K$301,$E$2:$E$301,E278,$F$2:$F$301,F278))</x:f>
      </x:c>
      <x:c r="M278" s="308" t="str">
        <x:f>IFERROR(K278/L278,"")</x:f>
      </x:c>
      <x:c r="N278" s="235"/>
      <x:c r="O278" s="297"/>
    </x:row>
    <x:row r="279">
      <x:c r="A279" s="293"/>
      <x:c r="B279" s="235"/>
      <x:c r="C279" s="235"/>
      <x:c r="D279" s="235"/>
      <x:c r="E279" s="235"/>
      <x:c r="F279" s="235"/>
      <x:c r="G279" s="294"/>
      <x:c r="H279" s="294"/>
      <x:c r="I279" s="235"/>
      <x:c r="J279" s="235"/>
      <x:c r="K279" s="306"/>
      <x:c r="L279" s="307" t="str">
        <x:f>IF(OR(E279="",F279="",K279=""),"",SUMIFS($K$2:$K$301,$E$2:$E$301,E279,$F$2:$F$301,F279))</x:f>
      </x:c>
      <x:c r="M279" s="308" t="str">
        <x:f>IFERROR(K279/L279,"")</x:f>
      </x:c>
      <x:c r="N279" s="235"/>
      <x:c r="O279" s="297"/>
    </x:row>
    <x:row r="280">
      <x:c r="A280" s="293"/>
      <x:c r="B280" s="235"/>
      <x:c r="C280" s="235"/>
      <x:c r="D280" s="235"/>
      <x:c r="E280" s="235"/>
      <x:c r="F280" s="235"/>
      <x:c r="G280" s="294"/>
      <x:c r="H280" s="294"/>
      <x:c r="I280" s="235"/>
      <x:c r="J280" s="235"/>
      <x:c r="K280" s="306"/>
      <x:c r="L280" s="307" t="str">
        <x:f>IF(OR(E280="",F280="",K280=""),"",SUMIFS($K$2:$K$301,$E$2:$E$301,E280,$F$2:$F$301,F280))</x:f>
      </x:c>
      <x:c r="M280" s="308" t="str">
        <x:f>IFERROR(K280/L280,"")</x:f>
      </x:c>
      <x:c r="N280" s="235"/>
      <x:c r="O280" s="297"/>
    </x:row>
    <x:row r="281">
      <x:c r="A281" s="293"/>
      <x:c r="B281" s="235"/>
      <x:c r="C281" s="235"/>
      <x:c r="D281" s="235"/>
      <x:c r="E281" s="235"/>
      <x:c r="F281" s="235"/>
      <x:c r="G281" s="294"/>
      <x:c r="H281" s="294"/>
      <x:c r="I281" s="235"/>
      <x:c r="J281" s="235"/>
      <x:c r="K281" s="306"/>
      <x:c r="L281" s="307" t="str">
        <x:f>IF(OR(E281="",F281="",K281=""),"",SUMIFS($K$2:$K$301,$E$2:$E$301,E281,$F$2:$F$301,F281))</x:f>
      </x:c>
      <x:c r="M281" s="308" t="str">
        <x:f>IFERROR(K281/L281,"")</x:f>
      </x:c>
      <x:c r="N281" s="235"/>
      <x:c r="O281" s="297"/>
    </x:row>
    <x:row r="282">
      <x:c r="A282" s="293"/>
      <x:c r="B282" s="235"/>
      <x:c r="C282" s="235"/>
      <x:c r="D282" s="235"/>
      <x:c r="E282" s="235"/>
      <x:c r="F282" s="235"/>
      <x:c r="G282" s="294"/>
      <x:c r="H282" s="294"/>
      <x:c r="I282" s="235"/>
      <x:c r="J282" s="235"/>
      <x:c r="K282" s="306"/>
      <x:c r="L282" s="307" t="str">
        <x:f>IF(OR(E282="",F282="",K282=""),"",SUMIFS($K$2:$K$301,$E$2:$E$301,E282,$F$2:$F$301,F282))</x:f>
      </x:c>
      <x:c r="M282" s="308" t="str">
        <x:f>IFERROR(K282/L282,"")</x:f>
      </x:c>
      <x:c r="N282" s="235"/>
      <x:c r="O282" s="297"/>
    </x:row>
    <x:row r="283">
      <x:c r="A283" s="293"/>
      <x:c r="B283" s="235"/>
      <x:c r="C283" s="235"/>
      <x:c r="D283" s="235"/>
      <x:c r="E283" s="235"/>
      <x:c r="F283" s="235"/>
      <x:c r="G283" s="294"/>
      <x:c r="H283" s="294"/>
      <x:c r="I283" s="235"/>
      <x:c r="J283" s="235"/>
      <x:c r="K283" s="306"/>
      <x:c r="L283" s="307" t="str">
        <x:f>IF(OR(E283="",F283="",K283=""),"",SUMIFS($K$2:$K$301,$E$2:$E$301,E283,$F$2:$F$301,F283))</x:f>
      </x:c>
      <x:c r="M283" s="308" t="str">
        <x:f>IFERROR(K283/L283,"")</x:f>
      </x:c>
      <x:c r="N283" s="235"/>
      <x:c r="O283" s="297"/>
    </x:row>
    <x:row r="284">
      <x:c r="A284" s="293"/>
      <x:c r="B284" s="235"/>
      <x:c r="C284" s="235"/>
      <x:c r="D284" s="235"/>
      <x:c r="E284" s="235"/>
      <x:c r="F284" s="235"/>
      <x:c r="G284" s="294"/>
      <x:c r="H284" s="294"/>
      <x:c r="I284" s="235"/>
      <x:c r="J284" s="235"/>
      <x:c r="K284" s="306"/>
      <x:c r="L284" s="307" t="str">
        <x:f>IF(OR(E284="",F284="",K284=""),"",SUMIFS($K$2:$K$301,$E$2:$E$301,E284,$F$2:$F$301,F284))</x:f>
      </x:c>
      <x:c r="M284" s="308" t="str">
        <x:f>IFERROR(K284/L284,"")</x:f>
      </x:c>
      <x:c r="N284" s="235"/>
      <x:c r="O284" s="297"/>
    </x:row>
    <x:row r="285">
      <x:c r="A285" s="293"/>
      <x:c r="B285" s="235"/>
      <x:c r="C285" s="235"/>
      <x:c r="D285" s="235"/>
      <x:c r="E285" s="235"/>
      <x:c r="F285" s="235"/>
      <x:c r="G285" s="294"/>
      <x:c r="H285" s="294"/>
      <x:c r="I285" s="235"/>
      <x:c r="J285" s="235"/>
      <x:c r="K285" s="306"/>
      <x:c r="L285" s="307" t="str">
        <x:f>IF(OR(E285="",F285="",K285=""),"",SUMIFS($K$2:$K$301,$E$2:$E$301,E285,$F$2:$F$301,F285))</x:f>
      </x:c>
      <x:c r="M285" s="308" t="str">
        <x:f>IFERROR(K285/L285,"")</x:f>
      </x:c>
      <x:c r="N285" s="235"/>
      <x:c r="O285" s="297"/>
    </x:row>
    <x:row r="286">
      <x:c r="A286" s="293"/>
      <x:c r="B286" s="235"/>
      <x:c r="C286" s="235"/>
      <x:c r="D286" s="235"/>
      <x:c r="E286" s="235"/>
      <x:c r="F286" s="235"/>
      <x:c r="G286" s="294"/>
      <x:c r="H286" s="294"/>
      <x:c r="I286" s="235"/>
      <x:c r="J286" s="235"/>
      <x:c r="K286" s="306"/>
      <x:c r="L286" s="307" t="str">
        <x:f>IF(OR(E286="",F286="",K286=""),"",SUMIFS($K$2:$K$301,$E$2:$E$301,E286,$F$2:$F$301,F286))</x:f>
      </x:c>
      <x:c r="M286" s="308" t="str">
        <x:f>IFERROR(K286/L286,"")</x:f>
      </x:c>
      <x:c r="N286" s="235"/>
      <x:c r="O286" s="297"/>
    </x:row>
    <x:row r="287">
      <x:c r="A287" s="293"/>
      <x:c r="B287" s="235"/>
      <x:c r="C287" s="235"/>
      <x:c r="D287" s="235"/>
      <x:c r="E287" s="235"/>
      <x:c r="F287" s="235"/>
      <x:c r="G287" s="294"/>
      <x:c r="H287" s="294"/>
      <x:c r="I287" s="235"/>
      <x:c r="J287" s="235"/>
      <x:c r="K287" s="306"/>
      <x:c r="L287" s="307" t="str">
        <x:f>IF(OR(E287="",F287="",K287=""),"",SUMIFS($K$2:$K$301,$E$2:$E$301,E287,$F$2:$F$301,F287))</x:f>
      </x:c>
      <x:c r="M287" s="308" t="str">
        <x:f>IFERROR(K287/L287,"")</x:f>
      </x:c>
      <x:c r="N287" s="235"/>
      <x:c r="O287" s="297"/>
    </x:row>
    <x:row r="288">
      <x:c r="A288" s="293"/>
      <x:c r="B288" s="235"/>
      <x:c r="C288" s="235"/>
      <x:c r="D288" s="235"/>
      <x:c r="E288" s="235"/>
      <x:c r="F288" s="235"/>
      <x:c r="G288" s="294"/>
      <x:c r="H288" s="294"/>
      <x:c r="I288" s="235"/>
      <x:c r="J288" s="235"/>
      <x:c r="K288" s="306"/>
      <x:c r="L288" s="307" t="str">
        <x:f>IF(OR(E288="",F288="",K288=""),"",SUMIFS($K$2:$K$301,$E$2:$E$301,E288,$F$2:$F$301,F288))</x:f>
      </x:c>
      <x:c r="M288" s="308" t="str">
        <x:f>IFERROR(K288/L288,"")</x:f>
      </x:c>
      <x:c r="N288" s="235"/>
      <x:c r="O288" s="297"/>
    </x:row>
    <x:row r="289">
      <x:c r="A289" s="293"/>
      <x:c r="B289" s="235"/>
      <x:c r="C289" s="235"/>
      <x:c r="D289" s="235"/>
      <x:c r="E289" s="235"/>
      <x:c r="F289" s="235"/>
      <x:c r="G289" s="294"/>
      <x:c r="H289" s="294"/>
      <x:c r="I289" s="235"/>
      <x:c r="J289" s="235"/>
      <x:c r="K289" s="306"/>
      <x:c r="L289" s="307" t="str">
        <x:f>IF(OR(E289="",F289="",K289=""),"",SUMIFS($K$2:$K$301,$E$2:$E$301,E289,$F$2:$F$301,F289))</x:f>
      </x:c>
      <x:c r="M289" s="308" t="str">
        <x:f>IFERROR(K289/L289,"")</x:f>
      </x:c>
      <x:c r="N289" s="235"/>
      <x:c r="O289" s="297"/>
    </x:row>
    <x:row r="290">
      <x:c r="A290" s="293"/>
      <x:c r="B290" s="235"/>
      <x:c r="C290" s="235"/>
      <x:c r="D290" s="235"/>
      <x:c r="E290" s="235"/>
      <x:c r="F290" s="235"/>
      <x:c r="G290" s="294"/>
      <x:c r="H290" s="294"/>
      <x:c r="I290" s="235"/>
      <x:c r="J290" s="235"/>
      <x:c r="K290" s="306"/>
      <x:c r="L290" s="307" t="str">
        <x:f>IF(OR(E290="",F290="",K290=""),"",SUMIFS($K$2:$K$301,$E$2:$E$301,E290,$F$2:$F$301,F290))</x:f>
      </x:c>
      <x:c r="M290" s="308" t="str">
        <x:f>IFERROR(K290/L290,"")</x:f>
      </x:c>
      <x:c r="N290" s="235"/>
      <x:c r="O290" s="297"/>
    </x:row>
    <x:row r="291">
      <x:c r="A291" s="293"/>
      <x:c r="B291" s="235"/>
      <x:c r="C291" s="235"/>
      <x:c r="D291" s="235"/>
      <x:c r="E291" s="235"/>
      <x:c r="F291" s="235"/>
      <x:c r="G291" s="294"/>
      <x:c r="H291" s="294"/>
      <x:c r="I291" s="235"/>
      <x:c r="J291" s="235"/>
      <x:c r="K291" s="306"/>
      <x:c r="L291" s="307" t="str">
        <x:f>IF(OR(E291="",F291="",K291=""),"",SUMIFS($K$2:$K$301,$E$2:$E$301,E291,$F$2:$F$301,F291))</x:f>
      </x:c>
      <x:c r="M291" s="308" t="str">
        <x:f>IFERROR(K291/L291,"")</x:f>
      </x:c>
      <x:c r="N291" s="235"/>
      <x:c r="O291" s="297"/>
    </x:row>
    <x:row r="292">
      <x:c r="A292" s="293"/>
      <x:c r="B292" s="235"/>
      <x:c r="C292" s="235"/>
      <x:c r="D292" s="235"/>
      <x:c r="E292" s="235"/>
      <x:c r="F292" s="235"/>
      <x:c r="G292" s="294"/>
      <x:c r="H292" s="294"/>
      <x:c r="I292" s="235"/>
      <x:c r="J292" s="235"/>
      <x:c r="K292" s="306"/>
      <x:c r="L292" s="307" t="str">
        <x:f>IF(OR(E292="",F292="",K292=""),"",SUMIFS($K$2:$K$301,$E$2:$E$301,E292,$F$2:$F$301,F292))</x:f>
      </x:c>
      <x:c r="M292" s="308" t="str">
        <x:f>IFERROR(K292/L292,"")</x:f>
      </x:c>
      <x:c r="N292" s="235"/>
      <x:c r="O292" s="297"/>
    </x:row>
    <x:row r="293">
      <x:c r="A293" s="293"/>
      <x:c r="B293" s="235"/>
      <x:c r="C293" s="235"/>
      <x:c r="D293" s="235"/>
      <x:c r="E293" s="235"/>
      <x:c r="F293" s="235"/>
      <x:c r="G293" s="294"/>
      <x:c r="H293" s="294"/>
      <x:c r="I293" s="235"/>
      <x:c r="J293" s="235"/>
      <x:c r="K293" s="306"/>
      <x:c r="L293" s="307" t="str">
        <x:f>IF(OR(E293="",F293="",K293=""),"",SUMIFS($K$2:$K$301,$E$2:$E$301,E293,$F$2:$F$301,F293))</x:f>
      </x:c>
      <x:c r="M293" s="308" t="str">
        <x:f>IFERROR(K293/L293,"")</x:f>
      </x:c>
      <x:c r="N293" s="235"/>
      <x:c r="O293" s="297"/>
    </x:row>
    <x:row r="294">
      <x:c r="A294" s="293"/>
      <x:c r="B294" s="235"/>
      <x:c r="C294" s="235"/>
      <x:c r="D294" s="235"/>
      <x:c r="E294" s="235"/>
      <x:c r="F294" s="235"/>
      <x:c r="G294" s="294"/>
      <x:c r="H294" s="294"/>
      <x:c r="I294" s="235"/>
      <x:c r="J294" s="235"/>
      <x:c r="K294" s="306"/>
      <x:c r="L294" s="307" t="str">
        <x:f>IF(OR(E294="",F294="",K294=""),"",SUMIFS($K$2:$K$301,$E$2:$E$301,E294,$F$2:$F$301,F294))</x:f>
      </x:c>
      <x:c r="M294" s="308" t="str">
        <x:f>IFERROR(K294/L294,"")</x:f>
      </x:c>
      <x:c r="N294" s="235"/>
      <x:c r="O294" s="297"/>
    </x:row>
    <x:row r="295">
      <x:c r="A295" s="293"/>
      <x:c r="B295" s="235"/>
      <x:c r="C295" s="235"/>
      <x:c r="D295" s="235"/>
      <x:c r="E295" s="235"/>
      <x:c r="F295" s="235"/>
      <x:c r="G295" s="294"/>
      <x:c r="H295" s="294"/>
      <x:c r="I295" s="235"/>
      <x:c r="J295" s="235"/>
      <x:c r="K295" s="306"/>
      <x:c r="L295" s="307" t="str">
        <x:f>IF(OR(E295="",F295="",K295=""),"",SUMIFS($K$2:$K$301,$E$2:$E$301,E295,$F$2:$F$301,F295))</x:f>
      </x:c>
      <x:c r="M295" s="308" t="str">
        <x:f>IFERROR(K295/L295,"")</x:f>
      </x:c>
      <x:c r="N295" s="235"/>
      <x:c r="O295" s="297"/>
    </x:row>
    <x:row r="296">
      <x:c r="A296" s="293"/>
      <x:c r="B296" s="235"/>
      <x:c r="C296" s="235"/>
      <x:c r="D296" s="235"/>
      <x:c r="E296" s="235"/>
      <x:c r="F296" s="235"/>
      <x:c r="G296" s="294"/>
      <x:c r="H296" s="294"/>
      <x:c r="I296" s="235"/>
      <x:c r="J296" s="235"/>
      <x:c r="K296" s="306"/>
      <x:c r="L296" s="307" t="str">
        <x:f>IF(OR(E296="",F296="",K296=""),"",SUMIFS($K$2:$K$301,$E$2:$E$301,E296,$F$2:$F$301,F296))</x:f>
      </x:c>
      <x:c r="M296" s="308" t="str">
        <x:f>IFERROR(K296/L296,"")</x:f>
      </x:c>
      <x:c r="N296" s="235"/>
      <x:c r="O296" s="297"/>
    </x:row>
    <x:row r="297">
      <x:c r="A297" s="293"/>
      <x:c r="B297" s="235"/>
      <x:c r="C297" s="235"/>
      <x:c r="D297" s="235"/>
      <x:c r="E297" s="235"/>
      <x:c r="F297" s="235"/>
      <x:c r="G297" s="294"/>
      <x:c r="H297" s="294"/>
      <x:c r="I297" s="235"/>
      <x:c r="J297" s="235"/>
      <x:c r="K297" s="306"/>
      <x:c r="L297" s="307" t="str">
        <x:f>IF(OR(E297="",F297="",K297=""),"",SUMIFS($K$2:$K$301,$E$2:$E$301,E297,$F$2:$F$301,F297))</x:f>
      </x:c>
      <x:c r="M297" s="308" t="str">
        <x:f>IFERROR(K297/L297,"")</x:f>
      </x:c>
      <x:c r="N297" s="235"/>
      <x:c r="O297" s="297"/>
    </x:row>
    <x:row r="298">
      <x:c r="A298" s="293"/>
      <x:c r="B298" s="235"/>
      <x:c r="C298" s="235"/>
      <x:c r="D298" s="235"/>
      <x:c r="E298" s="235"/>
      <x:c r="F298" s="235"/>
      <x:c r="G298" s="294"/>
      <x:c r="H298" s="294"/>
      <x:c r="I298" s="235"/>
      <x:c r="J298" s="235"/>
      <x:c r="K298" s="306"/>
      <x:c r="L298" s="307" t="str">
        <x:f>IF(OR(E298="",F298="",K298=""),"",SUMIFS($K$2:$K$301,$E$2:$E$301,E298,$F$2:$F$301,F298))</x:f>
      </x:c>
      <x:c r="M298" s="308" t="str">
        <x:f>IFERROR(K298/L298,"")</x:f>
      </x:c>
      <x:c r="N298" s="235"/>
      <x:c r="O298" s="297"/>
    </x:row>
    <x:row r="299">
      <x:c r="A299" s="293"/>
      <x:c r="B299" s="235"/>
      <x:c r="C299" s="235"/>
      <x:c r="D299" s="235"/>
      <x:c r="E299" s="235"/>
      <x:c r="F299" s="235"/>
      <x:c r="G299" s="294"/>
      <x:c r="H299" s="294"/>
      <x:c r="I299" s="235"/>
      <x:c r="J299" s="235"/>
      <x:c r="K299" s="306"/>
      <x:c r="L299" s="307" t="str">
        <x:f>IF(OR(E299="",F299="",K299=""),"",SUMIFS($K$2:$K$301,$E$2:$E$301,E299,$F$2:$F$301,F299))</x:f>
      </x:c>
      <x:c r="M299" s="308" t="str">
        <x:f>IFERROR(K299/L299,"")</x:f>
      </x:c>
      <x:c r="N299" s="235"/>
      <x:c r="O299" s="297"/>
    </x:row>
    <x:row r="300">
      <x:c r="A300" s="293"/>
      <x:c r="B300" s="235"/>
      <x:c r="C300" s="235"/>
      <x:c r="D300" s="235"/>
      <x:c r="E300" s="235"/>
      <x:c r="F300" s="235"/>
      <x:c r="G300" s="294"/>
      <x:c r="H300" s="294"/>
      <x:c r="I300" s="235"/>
      <x:c r="J300" s="235"/>
      <x:c r="K300" s="306"/>
      <x:c r="L300" s="307" t="str">
        <x:f>IF(OR(E300="",F300="",K300=""),"",SUMIFS($K$2:$K$301,$E$2:$E$301,E300,$F$2:$F$301,F300))</x:f>
      </x:c>
      <x:c r="M300" s="308" t="str">
        <x:f>IFERROR(K300/L300,"")</x:f>
      </x:c>
      <x:c r="N300" s="235"/>
      <x:c r="O300" s="297"/>
    </x:row>
    <x:row r="301">
      <x:c r="A301" s="298"/>
      <x:c r="B301" s="287"/>
      <x:c r="C301" s="287"/>
      <x:c r="D301" s="287"/>
      <x:c r="E301" s="287"/>
      <x:c r="F301" s="287"/>
      <x:c r="G301" s="299"/>
      <x:c r="H301" s="299"/>
      <x:c r="I301" s="287"/>
      <x:c r="J301" s="287"/>
      <x:c r="K301" s="309"/>
      <x:c r="L301" s="310" t="str">
        <x:f>IF(OR(E301="",F301="",K301=""),"",SUMIFS($K$2:$K$301,$E$2:$E$301,E301,$F$2:$F$301,F301))</x:f>
      </x:c>
      <x:c r="M301" s="311" t="str">
        <x:f>IFERROR(K301/L301,"")</x:f>
      </x:c>
      <x:c r="N301" s="287"/>
      <x:c r="O301" s="302"/>
    </x:row>
  </x:sheetData>
  <x:conditionalFormatting sqref="N2:N301">
    <x:cfRule type="containsText" dxfId="40" priority="1" operator="containsText" text="BLOCKED"/>
    <x:cfRule type="containsText" dxfId="41" priority="2" operator="containsText" text="ERROR"/>
    <x:cfRule type="containsText" dxfId="42" priority="3" operator="containsText" text="READY"/>
    <x:cfRule type="containsText" dxfId="43" priority="4" operator="containsText" text="VERIFIED"/>
    <x:cfRule type="containsText" dxfId="44" priority="5" operator="containsText" text="PENDING"/>
  </x:conditionalFormatting>
  <x:dataValidations count="4">
    <x:dataValidation type="list" sqref="E2:E301">
      <x:formula1>"Tier A,Tier B"</x:formula1>
    </x:dataValidation>
    <x:dataValidation type="list" sqref="J2:J301">
      <x:formula1>"0,1"</x:formula1>
    </x:dataValidation>
    <x:dataValidation type="list" sqref="N2:N301">
      <x:formula1>"PENDING,VERIFIED,REJECTED,EXCLUDED"</x:formula1>
    </x:dataValidation>
    <x:dataValidation type="decimal" operator="greaterThan" sqref="K2:K3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7703ce91b4f1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7" hidden="0" customWidth="1"/>
    <x:col min="6" max="6" width="21" hidden="0" customWidth="1"/>
    <x:col min="7" max="7" width="23" hidden="0" customWidth="1"/>
    <x:col min="8" max="8" width="21" hidden="0" customWidth="1"/>
    <x:col min="9" max="9" width="18" hidden="0" customWidth="1"/>
    <x:col min="10" max="10" width="24" hidden="0" customWidth="1"/>
    <x:col min="11" max="11" width="15" hidden="0" customWidth="1"/>
    <x:col min="12" max="12" width="25" hidden="0" customWidth="1"/>
    <x:col min="13" max="13" width="17" hidden="0" customWidth="1"/>
    <x:col min="14" max="14" width="21" hidden="0" customWidth="1"/>
    <x:col min="15" max="15" width="19" hidden="0" customWidth="1"/>
    <x:col min="16" max="16" width="25" hidden="0" customWidth="1"/>
    <x:col min="17" max="17" width="20" hidden="0" customWidth="1"/>
    <x:col min="18" max="18" width="20" hidden="0" customWidth="1"/>
    <x:col min="19" max="19" width="18" hidden="0" customWidth="1"/>
    <x:col min="20" max="20" width="18" hidden="0" customWidth="1"/>
    <x:col min="21" max="21" width="45" hidden="0" customWidth="1"/>
  </x:cols>
  <x:sheetData>
    <x:row r="1" ht="34" customHeight="1">
      <x:c r="A1" s="220" t="str">
        <x:v>tier</x:v>
      </x:c>
      <x:c r="B1" s="221" t="str">
        <x:v>sector_id</x:v>
      </x:c>
      <x:c r="C1" s="221" t="str">
        <x:v>kbji4</x:v>
      </x:c>
      <x:c r="D1" s="221" t="str">
        <x:v>isco08_4</x:v>
      </x:c>
      <x:c r="E1" s="221" t="str">
        <x:v>allocation_share</x:v>
      </x:c>
      <x:c r="F1" s="221" t="str">
        <x:v>kbji_weighted_workers</x:v>
      </x:c>
      <x:c r="G1" s="221" t="str">
        <x:v>allocated_weighted_workers</x:v>
      </x:c>
      <x:c r="H1" s="221" t="str">
        <x:v>sector_weighted_total</x:v>
      </x:c>
      <x:c r="I1" s="221" t="str">
        <x:v>occupation_share</x:v>
      </x:c>
      <x:c r="J1" s="221" t="str">
        <x:v>ilo2016_risk_category</x:v>
      </x:c>
      <x:c r="K1" s="221" t="str">
        <x:v>risk_high_flag</x:v>
      </x:c>
      <x:c r="L1" s="221" t="str">
        <x:v>ilo2025_genai_category</x:v>
      </x:c>
      <x:c r="M1" s="221" t="str">
        <x:v>genai_score_0_5</x:v>
      </x:c>
      <x:c r="N1" s="221" t="str">
        <x:v>d2_contribution_pp</x:v>
      </x:c>
      <x:c r="O1" s="221" t="str">
        <x:v>d3_contribution</x:v>
      </x:c>
      <x:c r="P1" s="221" t="str">
        <x:v>source_ids</x:v>
      </x:c>
      <x:c r="Q1" s="221" t="str">
        <x:v>risk_mapping_status</x:v>
      </x:c>
      <x:c r="R1" s="221" t="str">
        <x:v>genai_mapping_status</x:v>
      </x:c>
      <x:c r="S1" s="221" t="str">
        <x:v>sector_share_sum</x:v>
      </x:c>
      <x:c r="T1" s="221" t="str">
        <x:v>qc_status</x:v>
      </x:c>
      <x:c r="U1" s="222" t="str">
        <x:v>notes</x:v>
      </x:c>
    </x:row>
    <x:row r="2">
      <x:c r="A2" s="288"/>
      <x:c r="B2" s="285"/>
      <x:c r="C2" s="289"/>
      <x:c r="D2" s="289"/>
      <x:c r="E2" s="312"/>
      <x:c r="F2" s="304" t="str">
        <x:f>IF(OR(A2="",B2="",C2=""),"",SUMIFS('04_SAKERNAS_AGG'!$K$2:$K$301,'04_SAKERNAS_AGG'!$E$2:$E$301,A2,'04_SAKERNAS_AGG'!$F$2:$F$301,B2,'04_SAKERNAS_AGG'!$H$2:$H$301,C2))</x:f>
      </x:c>
      <x:c r="G2" s="304" t="str">
        <x:f>IF(OR(E2="",F2=""),"",E2*F2)</x:f>
      </x:c>
      <x:c r="H2" s="304" t="str">
        <x:f>IF(OR(A2="",B2="",G2=""),"",SUMIFS($G$2:$G$301,$A$2:$A$301,A2,$B$2:$B$301,B2))</x:f>
      </x:c>
      <x:c r="I2" s="305" t="str">
        <x:f>IFERROR(G2/H2,"")</x:f>
      </x:c>
      <x:c r="J2" s="285"/>
      <x:c r="K2" s="285"/>
      <x:c r="L2" s="285"/>
      <x:c r="M2" s="285"/>
      <x:c r="N2" s="313" t="str">
        <x:f>IF(OR(I2="",K2=""),"",100*I2*K2)</x:f>
      </x:c>
      <x:c r="O2" s="305" t="str">
        <x:f>IF(OR(I2="",M2=""),"",I2*M2)</x:f>
      </x:c>
      <x:c r="P2" s="285"/>
      <x:c r="Q2" s="285"/>
      <x:c r="R2" s="285"/>
      <x:c r="S2" s="305" t="str">
        <x:f>IF(OR(A2="",B2=""),"",SUMIFS($I$2:$I$301,$A$2:$A$301,A2,$B$2:$B$301,B2))</x:f>
      </x:c>
      <x:c r="T2" s="284" t="str">
        <x:f>IF(B2="","",IF(ABS(S2-1)&gt;0.000001,"ERROR_SHARE",IF(OR(Q2&lt;&gt;"VERIFIED",R2&lt;&gt;"VERIFIED"),"CHECK_MAPPING","OK")))</x:f>
      </x:c>
      <x:c r="U2" s="292"/>
    </x:row>
    <x:row r="3">
      <x:c r="A3" s="293"/>
      <x:c r="B3" s="235"/>
      <x:c r="C3" s="294"/>
      <x:c r="D3" s="294"/>
      <x:c r="E3" s="314"/>
      <x:c r="F3" s="307" t="str">
        <x:f>IF(OR(A3="",B3="",C3=""),"",SUMIFS('04_SAKERNAS_AGG'!$K$2:$K$301,'04_SAKERNAS_AGG'!$E$2:$E$301,A3,'04_SAKERNAS_AGG'!$F$2:$F$301,B3,'04_SAKERNAS_AGG'!$H$2:$H$301,C3))</x:f>
      </x:c>
      <x:c r="G3" s="307" t="str">
        <x:f>IF(OR(E3="",F3=""),"",E3*F3)</x:f>
      </x:c>
      <x:c r="H3" s="307" t="str">
        <x:f>IF(OR(A3="",B3="",G3=""),"",SUMIFS($G$2:$G$301,$A$2:$A$301,A3,$B$2:$B$301,B3))</x:f>
      </x:c>
      <x:c r="I3" s="308" t="str">
        <x:f>IFERROR(G3/H3,"")</x:f>
      </x:c>
      <x:c r="J3" s="235"/>
      <x:c r="K3" s="235"/>
      <x:c r="L3" s="235"/>
      <x:c r="M3" s="235"/>
      <x:c r="N3" s="315" t="str">
        <x:f>IF(OR(I3="",K3=""),"",100*I3*K3)</x:f>
      </x:c>
      <x:c r="O3" s="308" t="str">
        <x:f>IF(OR(I3="",M3=""),"",I3*M3)</x:f>
      </x:c>
      <x:c r="P3" s="235"/>
      <x:c r="Q3" s="235"/>
      <x:c r="R3" s="235"/>
      <x:c r="S3" s="308" t="str">
        <x:f>IF(OR(A3="",B3=""),"",SUMIFS($I$2:$I$301,$A$2:$A$301,A3,$B$2:$B$301,B3))</x:f>
      </x:c>
      <x:c r="T3" s="233" t="str">
        <x:f>IF(B3="","",IF(ABS(S3-1)&gt;0.000001,"ERROR_SHARE",IF(OR(Q3&lt;&gt;"VERIFIED",R3&lt;&gt;"VERIFIED"),"CHECK_MAPPING","OK")))</x:f>
      </x:c>
      <x:c r="U3" s="297"/>
    </x:row>
    <x:row r="4">
      <x:c r="A4" s="293"/>
      <x:c r="B4" s="235"/>
      <x:c r="C4" s="294"/>
      <x:c r="D4" s="294"/>
      <x:c r="E4" s="314"/>
      <x:c r="F4" s="307" t="str">
        <x:f>IF(OR(A4="",B4="",C4=""),"",SUMIFS('04_SAKERNAS_AGG'!$K$2:$K$301,'04_SAKERNAS_AGG'!$E$2:$E$301,A4,'04_SAKERNAS_AGG'!$F$2:$F$301,B4,'04_SAKERNAS_AGG'!$H$2:$H$301,C4))</x:f>
      </x:c>
      <x:c r="G4" s="307" t="str">
        <x:f>IF(OR(E4="",F4=""),"",E4*F4)</x:f>
      </x:c>
      <x:c r="H4" s="307" t="str">
        <x:f>IF(OR(A4="",B4="",G4=""),"",SUMIFS($G$2:$G$301,$A$2:$A$301,A4,$B$2:$B$301,B4))</x:f>
      </x:c>
      <x:c r="I4" s="308" t="str">
        <x:f>IFERROR(G4/H4,"")</x:f>
      </x:c>
      <x:c r="J4" s="235"/>
      <x:c r="K4" s="235"/>
      <x:c r="L4" s="235"/>
      <x:c r="M4" s="235"/>
      <x:c r="N4" s="315" t="str">
        <x:f>IF(OR(I4="",K4=""),"",100*I4*K4)</x:f>
      </x:c>
      <x:c r="O4" s="308" t="str">
        <x:f>IF(OR(I4="",M4=""),"",I4*M4)</x:f>
      </x:c>
      <x:c r="P4" s="235"/>
      <x:c r="Q4" s="235"/>
      <x:c r="R4" s="235"/>
      <x:c r="S4" s="308" t="str">
        <x:f>IF(OR(A4="",B4=""),"",SUMIFS($I$2:$I$301,$A$2:$A$301,A4,$B$2:$B$301,B4))</x:f>
      </x:c>
      <x:c r="T4" s="233" t="str">
        <x:f>IF(B4="","",IF(ABS(S4-1)&gt;0.000001,"ERROR_SHARE",IF(OR(Q4&lt;&gt;"VERIFIED",R4&lt;&gt;"VERIFIED"),"CHECK_MAPPING","OK")))</x:f>
      </x:c>
      <x:c r="U4" s="297"/>
    </x:row>
    <x:row r="5">
      <x:c r="A5" s="293"/>
      <x:c r="B5" s="235"/>
      <x:c r="C5" s="294"/>
      <x:c r="D5" s="294"/>
      <x:c r="E5" s="314"/>
      <x:c r="F5" s="307" t="str">
        <x:f>IF(OR(A5="",B5="",C5=""),"",SUMIFS('04_SAKERNAS_AGG'!$K$2:$K$301,'04_SAKERNAS_AGG'!$E$2:$E$301,A5,'04_SAKERNAS_AGG'!$F$2:$F$301,B5,'04_SAKERNAS_AGG'!$H$2:$H$301,C5))</x:f>
      </x:c>
      <x:c r="G5" s="307" t="str">
        <x:f>IF(OR(E5="",F5=""),"",E5*F5)</x:f>
      </x:c>
      <x:c r="H5" s="307" t="str">
        <x:f>IF(OR(A5="",B5="",G5=""),"",SUMIFS($G$2:$G$301,$A$2:$A$301,A5,$B$2:$B$301,B5))</x:f>
      </x:c>
      <x:c r="I5" s="308" t="str">
        <x:f>IFERROR(G5/H5,"")</x:f>
      </x:c>
      <x:c r="J5" s="235"/>
      <x:c r="K5" s="235"/>
      <x:c r="L5" s="235"/>
      <x:c r="M5" s="235"/>
      <x:c r="N5" s="315" t="str">
        <x:f>IF(OR(I5="",K5=""),"",100*I5*K5)</x:f>
      </x:c>
      <x:c r="O5" s="308" t="str">
        <x:f>IF(OR(I5="",M5=""),"",I5*M5)</x:f>
      </x:c>
      <x:c r="P5" s="235"/>
      <x:c r="Q5" s="235"/>
      <x:c r="R5" s="235"/>
      <x:c r="S5" s="308" t="str">
        <x:f>IF(OR(A5="",B5=""),"",SUMIFS($I$2:$I$301,$A$2:$A$301,A5,$B$2:$B$301,B5))</x:f>
      </x:c>
      <x:c r="T5" s="233" t="str">
        <x:f>IF(B5="","",IF(ABS(S5-1)&gt;0.000001,"ERROR_SHARE",IF(OR(Q5&lt;&gt;"VERIFIED",R5&lt;&gt;"VERIFIED"),"CHECK_MAPPING","OK")))</x:f>
      </x:c>
      <x:c r="U5" s="297"/>
    </x:row>
    <x:row r="6">
      <x:c r="A6" s="293"/>
      <x:c r="B6" s="235"/>
      <x:c r="C6" s="294"/>
      <x:c r="D6" s="294"/>
      <x:c r="E6" s="314"/>
      <x:c r="F6" s="307" t="str">
        <x:f>IF(OR(A6="",B6="",C6=""),"",SUMIFS('04_SAKERNAS_AGG'!$K$2:$K$301,'04_SAKERNAS_AGG'!$E$2:$E$301,A6,'04_SAKERNAS_AGG'!$F$2:$F$301,B6,'04_SAKERNAS_AGG'!$H$2:$H$301,C6))</x:f>
      </x:c>
      <x:c r="G6" s="307" t="str">
        <x:f>IF(OR(E6="",F6=""),"",E6*F6)</x:f>
      </x:c>
      <x:c r="H6" s="307" t="str">
        <x:f>IF(OR(A6="",B6="",G6=""),"",SUMIFS($G$2:$G$301,$A$2:$A$301,A6,$B$2:$B$301,B6))</x:f>
      </x:c>
      <x:c r="I6" s="308" t="str">
        <x:f>IFERROR(G6/H6,"")</x:f>
      </x:c>
      <x:c r="J6" s="235"/>
      <x:c r="K6" s="235"/>
      <x:c r="L6" s="235"/>
      <x:c r="M6" s="235"/>
      <x:c r="N6" s="315" t="str">
        <x:f>IF(OR(I6="",K6=""),"",100*I6*K6)</x:f>
      </x:c>
      <x:c r="O6" s="308" t="str">
        <x:f>IF(OR(I6="",M6=""),"",I6*M6)</x:f>
      </x:c>
      <x:c r="P6" s="235"/>
      <x:c r="Q6" s="235"/>
      <x:c r="R6" s="235"/>
      <x:c r="S6" s="308" t="str">
        <x:f>IF(OR(A6="",B6=""),"",SUMIFS($I$2:$I$301,$A$2:$A$301,A6,$B$2:$B$301,B6))</x:f>
      </x:c>
      <x:c r="T6" s="233" t="str">
        <x:f>IF(B6="","",IF(ABS(S6-1)&gt;0.000001,"ERROR_SHARE",IF(OR(Q6&lt;&gt;"VERIFIED",R6&lt;&gt;"VERIFIED"),"CHECK_MAPPING","OK")))</x:f>
      </x:c>
      <x:c r="U6" s="297"/>
    </x:row>
    <x:row r="7">
      <x:c r="A7" s="293"/>
      <x:c r="B7" s="235"/>
      <x:c r="C7" s="294"/>
      <x:c r="D7" s="294"/>
      <x:c r="E7" s="314"/>
      <x:c r="F7" s="307" t="str">
        <x:f>IF(OR(A7="",B7="",C7=""),"",SUMIFS('04_SAKERNAS_AGG'!$K$2:$K$301,'04_SAKERNAS_AGG'!$E$2:$E$301,A7,'04_SAKERNAS_AGG'!$F$2:$F$301,B7,'04_SAKERNAS_AGG'!$H$2:$H$301,C7))</x:f>
      </x:c>
      <x:c r="G7" s="307" t="str">
        <x:f>IF(OR(E7="",F7=""),"",E7*F7)</x:f>
      </x:c>
      <x:c r="H7" s="307" t="str">
        <x:f>IF(OR(A7="",B7="",G7=""),"",SUMIFS($G$2:$G$301,$A$2:$A$301,A7,$B$2:$B$301,B7))</x:f>
      </x:c>
      <x:c r="I7" s="308" t="str">
        <x:f>IFERROR(G7/H7,"")</x:f>
      </x:c>
      <x:c r="J7" s="235"/>
      <x:c r="K7" s="235"/>
      <x:c r="L7" s="235"/>
      <x:c r="M7" s="235"/>
      <x:c r="N7" s="315" t="str">
        <x:f>IF(OR(I7="",K7=""),"",100*I7*K7)</x:f>
      </x:c>
      <x:c r="O7" s="308" t="str">
        <x:f>IF(OR(I7="",M7=""),"",I7*M7)</x:f>
      </x:c>
      <x:c r="P7" s="235"/>
      <x:c r="Q7" s="235"/>
      <x:c r="R7" s="235"/>
      <x:c r="S7" s="308" t="str">
        <x:f>IF(OR(A7="",B7=""),"",SUMIFS($I$2:$I$301,$A$2:$A$301,A7,$B$2:$B$301,B7))</x:f>
      </x:c>
      <x:c r="T7" s="233" t="str">
        <x:f>IF(B7="","",IF(ABS(S7-1)&gt;0.000001,"ERROR_SHARE",IF(OR(Q7&lt;&gt;"VERIFIED",R7&lt;&gt;"VERIFIED"),"CHECK_MAPPING","OK")))</x:f>
      </x:c>
      <x:c r="U7" s="297"/>
    </x:row>
    <x:row r="8">
      <x:c r="A8" s="293"/>
      <x:c r="B8" s="235"/>
      <x:c r="C8" s="294"/>
      <x:c r="D8" s="294"/>
      <x:c r="E8" s="314"/>
      <x:c r="F8" s="307" t="str">
        <x:f>IF(OR(A8="",B8="",C8=""),"",SUMIFS('04_SAKERNAS_AGG'!$K$2:$K$301,'04_SAKERNAS_AGG'!$E$2:$E$301,A8,'04_SAKERNAS_AGG'!$F$2:$F$301,B8,'04_SAKERNAS_AGG'!$H$2:$H$301,C8))</x:f>
      </x:c>
      <x:c r="G8" s="307" t="str">
        <x:f>IF(OR(E8="",F8=""),"",E8*F8)</x:f>
      </x:c>
      <x:c r="H8" s="307" t="str">
        <x:f>IF(OR(A8="",B8="",G8=""),"",SUMIFS($G$2:$G$301,$A$2:$A$301,A8,$B$2:$B$301,B8))</x:f>
      </x:c>
      <x:c r="I8" s="308" t="str">
        <x:f>IFERROR(G8/H8,"")</x:f>
      </x:c>
      <x:c r="J8" s="235"/>
      <x:c r="K8" s="235"/>
      <x:c r="L8" s="235"/>
      <x:c r="M8" s="235"/>
      <x:c r="N8" s="315" t="str">
        <x:f>IF(OR(I8="",K8=""),"",100*I8*K8)</x:f>
      </x:c>
      <x:c r="O8" s="308" t="str">
        <x:f>IF(OR(I8="",M8=""),"",I8*M8)</x:f>
      </x:c>
      <x:c r="P8" s="235"/>
      <x:c r="Q8" s="235"/>
      <x:c r="R8" s="235"/>
      <x:c r="S8" s="308" t="str">
        <x:f>IF(OR(A8="",B8=""),"",SUMIFS($I$2:$I$301,$A$2:$A$301,A8,$B$2:$B$301,B8))</x:f>
      </x:c>
      <x:c r="T8" s="233" t="str">
        <x:f>IF(B8="","",IF(ABS(S8-1)&gt;0.000001,"ERROR_SHARE",IF(OR(Q8&lt;&gt;"VERIFIED",R8&lt;&gt;"VERIFIED"),"CHECK_MAPPING","OK")))</x:f>
      </x:c>
      <x:c r="U8" s="297"/>
    </x:row>
    <x:row r="9">
      <x:c r="A9" s="293"/>
      <x:c r="B9" s="235"/>
      <x:c r="C9" s="294"/>
      <x:c r="D9" s="294"/>
      <x:c r="E9" s="314"/>
      <x:c r="F9" s="307" t="str">
        <x:f>IF(OR(A9="",B9="",C9=""),"",SUMIFS('04_SAKERNAS_AGG'!$K$2:$K$301,'04_SAKERNAS_AGG'!$E$2:$E$301,A9,'04_SAKERNAS_AGG'!$F$2:$F$301,B9,'04_SAKERNAS_AGG'!$H$2:$H$301,C9))</x:f>
      </x:c>
      <x:c r="G9" s="307" t="str">
        <x:f>IF(OR(E9="",F9=""),"",E9*F9)</x:f>
      </x:c>
      <x:c r="H9" s="307" t="str">
        <x:f>IF(OR(A9="",B9="",G9=""),"",SUMIFS($G$2:$G$301,$A$2:$A$301,A9,$B$2:$B$301,B9))</x:f>
      </x:c>
      <x:c r="I9" s="308" t="str">
        <x:f>IFERROR(G9/H9,"")</x:f>
      </x:c>
      <x:c r="J9" s="235"/>
      <x:c r="K9" s="235"/>
      <x:c r="L9" s="235"/>
      <x:c r="M9" s="235"/>
      <x:c r="N9" s="315" t="str">
        <x:f>IF(OR(I9="",K9=""),"",100*I9*K9)</x:f>
      </x:c>
      <x:c r="O9" s="308" t="str">
        <x:f>IF(OR(I9="",M9=""),"",I9*M9)</x:f>
      </x:c>
      <x:c r="P9" s="235"/>
      <x:c r="Q9" s="235"/>
      <x:c r="R9" s="235"/>
      <x:c r="S9" s="308" t="str">
        <x:f>IF(OR(A9="",B9=""),"",SUMIFS($I$2:$I$301,$A$2:$A$301,A9,$B$2:$B$301,B9))</x:f>
      </x:c>
      <x:c r="T9" s="233" t="str">
        <x:f>IF(B9="","",IF(ABS(S9-1)&gt;0.000001,"ERROR_SHARE",IF(OR(Q9&lt;&gt;"VERIFIED",R9&lt;&gt;"VERIFIED"),"CHECK_MAPPING","OK")))</x:f>
      </x:c>
      <x:c r="U9" s="297"/>
    </x:row>
    <x:row r="10">
      <x:c r="A10" s="293"/>
      <x:c r="B10" s="235"/>
      <x:c r="C10" s="294"/>
      <x:c r="D10" s="294"/>
      <x:c r="E10" s="314"/>
      <x:c r="F10" s="307" t="str">
        <x:f>IF(OR(A10="",B10="",C10=""),"",SUMIFS('04_SAKERNAS_AGG'!$K$2:$K$301,'04_SAKERNAS_AGG'!$E$2:$E$301,A10,'04_SAKERNAS_AGG'!$F$2:$F$301,B10,'04_SAKERNAS_AGG'!$H$2:$H$301,C10))</x:f>
      </x:c>
      <x:c r="G10" s="307" t="str">
        <x:f>IF(OR(E10="",F10=""),"",E10*F10)</x:f>
      </x:c>
      <x:c r="H10" s="307" t="str">
        <x:f>IF(OR(A10="",B10="",G10=""),"",SUMIFS($G$2:$G$301,$A$2:$A$301,A10,$B$2:$B$301,B10))</x:f>
      </x:c>
      <x:c r="I10" s="308" t="str">
        <x:f>IFERROR(G10/H10,"")</x:f>
      </x:c>
      <x:c r="J10" s="235"/>
      <x:c r="K10" s="235"/>
      <x:c r="L10" s="235"/>
      <x:c r="M10" s="235"/>
      <x:c r="N10" s="315" t="str">
        <x:f>IF(OR(I10="",K10=""),"",100*I10*K10)</x:f>
      </x:c>
      <x:c r="O10" s="308" t="str">
        <x:f>IF(OR(I10="",M10=""),"",I10*M10)</x:f>
      </x:c>
      <x:c r="P10" s="235"/>
      <x:c r="Q10" s="235"/>
      <x:c r="R10" s="235"/>
      <x:c r="S10" s="308" t="str">
        <x:f>IF(OR(A10="",B10=""),"",SUMIFS($I$2:$I$301,$A$2:$A$301,A10,$B$2:$B$301,B10))</x:f>
      </x:c>
      <x:c r="T10" s="233" t="str">
        <x:f>IF(B10="","",IF(ABS(S10-1)&gt;0.000001,"ERROR_SHARE",IF(OR(Q10&lt;&gt;"VERIFIED",R10&lt;&gt;"VERIFIED"),"CHECK_MAPPING","OK")))</x:f>
      </x:c>
      <x:c r="U10" s="297"/>
    </x:row>
    <x:row r="11">
      <x:c r="A11" s="293"/>
      <x:c r="B11" s="235"/>
      <x:c r="C11" s="294"/>
      <x:c r="D11" s="294"/>
      <x:c r="E11" s="314"/>
      <x:c r="F11" s="307" t="str">
        <x:f>IF(OR(A11="",B11="",C11=""),"",SUMIFS('04_SAKERNAS_AGG'!$K$2:$K$301,'04_SAKERNAS_AGG'!$E$2:$E$301,A11,'04_SAKERNAS_AGG'!$F$2:$F$301,B11,'04_SAKERNAS_AGG'!$H$2:$H$301,C11))</x:f>
      </x:c>
      <x:c r="G11" s="307" t="str">
        <x:f>IF(OR(E11="",F11=""),"",E11*F11)</x:f>
      </x:c>
      <x:c r="H11" s="307" t="str">
        <x:f>IF(OR(A11="",B11="",G11=""),"",SUMIFS($G$2:$G$301,$A$2:$A$301,A11,$B$2:$B$301,B11))</x:f>
      </x:c>
      <x:c r="I11" s="308" t="str">
        <x:f>IFERROR(G11/H11,"")</x:f>
      </x:c>
      <x:c r="J11" s="235"/>
      <x:c r="K11" s="235"/>
      <x:c r="L11" s="235"/>
      <x:c r="M11" s="235"/>
      <x:c r="N11" s="315" t="str">
        <x:f>IF(OR(I11="",K11=""),"",100*I11*K11)</x:f>
      </x:c>
      <x:c r="O11" s="308" t="str">
        <x:f>IF(OR(I11="",M11=""),"",I11*M11)</x:f>
      </x:c>
      <x:c r="P11" s="235"/>
      <x:c r="Q11" s="235"/>
      <x:c r="R11" s="235"/>
      <x:c r="S11" s="308" t="str">
        <x:f>IF(OR(A11="",B11=""),"",SUMIFS($I$2:$I$301,$A$2:$A$301,A11,$B$2:$B$301,B11))</x:f>
      </x:c>
      <x:c r="T11" s="233" t="str">
        <x:f>IF(B11="","",IF(ABS(S11-1)&gt;0.000001,"ERROR_SHARE",IF(OR(Q11&lt;&gt;"VERIFIED",R11&lt;&gt;"VERIFIED"),"CHECK_MAPPING","OK")))</x:f>
      </x:c>
      <x:c r="U11" s="297"/>
    </x:row>
    <x:row r="12">
      <x:c r="A12" s="293"/>
      <x:c r="B12" s="235"/>
      <x:c r="C12" s="294"/>
      <x:c r="D12" s="294"/>
      <x:c r="E12" s="314"/>
      <x:c r="F12" s="307" t="str">
        <x:f>IF(OR(A12="",B12="",C12=""),"",SUMIFS('04_SAKERNAS_AGG'!$K$2:$K$301,'04_SAKERNAS_AGG'!$E$2:$E$301,A12,'04_SAKERNAS_AGG'!$F$2:$F$301,B12,'04_SAKERNAS_AGG'!$H$2:$H$301,C12))</x:f>
      </x:c>
      <x:c r="G12" s="307" t="str">
        <x:f>IF(OR(E12="",F12=""),"",E12*F12)</x:f>
      </x:c>
      <x:c r="H12" s="307" t="str">
        <x:f>IF(OR(A12="",B12="",G12=""),"",SUMIFS($G$2:$G$301,$A$2:$A$301,A12,$B$2:$B$301,B12))</x:f>
      </x:c>
      <x:c r="I12" s="308" t="str">
        <x:f>IFERROR(G12/H12,"")</x:f>
      </x:c>
      <x:c r="J12" s="235"/>
      <x:c r="K12" s="235"/>
      <x:c r="L12" s="235"/>
      <x:c r="M12" s="235"/>
      <x:c r="N12" s="315" t="str">
        <x:f>IF(OR(I12="",K12=""),"",100*I12*K12)</x:f>
      </x:c>
      <x:c r="O12" s="308" t="str">
        <x:f>IF(OR(I12="",M12=""),"",I12*M12)</x:f>
      </x:c>
      <x:c r="P12" s="235"/>
      <x:c r="Q12" s="235"/>
      <x:c r="R12" s="235"/>
      <x:c r="S12" s="308" t="str">
        <x:f>IF(OR(A12="",B12=""),"",SUMIFS($I$2:$I$301,$A$2:$A$301,A12,$B$2:$B$301,B12))</x:f>
      </x:c>
      <x:c r="T12" s="233" t="str">
        <x:f>IF(B12="","",IF(ABS(S12-1)&gt;0.000001,"ERROR_SHARE",IF(OR(Q12&lt;&gt;"VERIFIED",R12&lt;&gt;"VERIFIED"),"CHECK_MAPPING","OK")))</x:f>
      </x:c>
      <x:c r="U12" s="297"/>
    </x:row>
    <x:row r="13">
      <x:c r="A13" s="293"/>
      <x:c r="B13" s="235"/>
      <x:c r="C13" s="294"/>
      <x:c r="D13" s="294"/>
      <x:c r="E13" s="314"/>
      <x:c r="F13" s="307" t="str">
        <x:f>IF(OR(A13="",B13="",C13=""),"",SUMIFS('04_SAKERNAS_AGG'!$K$2:$K$301,'04_SAKERNAS_AGG'!$E$2:$E$301,A13,'04_SAKERNAS_AGG'!$F$2:$F$301,B13,'04_SAKERNAS_AGG'!$H$2:$H$301,C13))</x:f>
      </x:c>
      <x:c r="G13" s="307" t="str">
        <x:f>IF(OR(E13="",F13=""),"",E13*F13)</x:f>
      </x:c>
      <x:c r="H13" s="307" t="str">
        <x:f>IF(OR(A13="",B13="",G13=""),"",SUMIFS($G$2:$G$301,$A$2:$A$301,A13,$B$2:$B$301,B13))</x:f>
      </x:c>
      <x:c r="I13" s="308" t="str">
        <x:f>IFERROR(G13/H13,"")</x:f>
      </x:c>
      <x:c r="J13" s="235"/>
      <x:c r="K13" s="235"/>
      <x:c r="L13" s="235"/>
      <x:c r="M13" s="235"/>
      <x:c r="N13" s="315" t="str">
        <x:f>IF(OR(I13="",K13=""),"",100*I13*K13)</x:f>
      </x:c>
      <x:c r="O13" s="308" t="str">
        <x:f>IF(OR(I13="",M13=""),"",I13*M13)</x:f>
      </x:c>
      <x:c r="P13" s="235"/>
      <x:c r="Q13" s="235"/>
      <x:c r="R13" s="235"/>
      <x:c r="S13" s="308" t="str">
        <x:f>IF(OR(A13="",B13=""),"",SUMIFS($I$2:$I$301,$A$2:$A$301,A13,$B$2:$B$301,B13))</x:f>
      </x:c>
      <x:c r="T13" s="233" t="str">
        <x:f>IF(B13="","",IF(ABS(S13-1)&gt;0.000001,"ERROR_SHARE",IF(OR(Q13&lt;&gt;"VERIFIED",R13&lt;&gt;"VERIFIED"),"CHECK_MAPPING","OK")))</x:f>
      </x:c>
      <x:c r="U13" s="297"/>
    </x:row>
    <x:row r="14">
      <x:c r="A14" s="293"/>
      <x:c r="B14" s="235"/>
      <x:c r="C14" s="294"/>
      <x:c r="D14" s="294"/>
      <x:c r="E14" s="314"/>
      <x:c r="F14" s="307" t="str">
        <x:f>IF(OR(A14="",B14="",C14=""),"",SUMIFS('04_SAKERNAS_AGG'!$K$2:$K$301,'04_SAKERNAS_AGG'!$E$2:$E$301,A14,'04_SAKERNAS_AGG'!$F$2:$F$301,B14,'04_SAKERNAS_AGG'!$H$2:$H$301,C14))</x:f>
      </x:c>
      <x:c r="G14" s="307" t="str">
        <x:f>IF(OR(E14="",F14=""),"",E14*F14)</x:f>
      </x:c>
      <x:c r="H14" s="307" t="str">
        <x:f>IF(OR(A14="",B14="",G14=""),"",SUMIFS($G$2:$G$301,$A$2:$A$301,A14,$B$2:$B$301,B14))</x:f>
      </x:c>
      <x:c r="I14" s="308" t="str">
        <x:f>IFERROR(G14/H14,"")</x:f>
      </x:c>
      <x:c r="J14" s="235"/>
      <x:c r="K14" s="235"/>
      <x:c r="L14" s="235"/>
      <x:c r="M14" s="235"/>
      <x:c r="N14" s="315" t="str">
        <x:f>IF(OR(I14="",K14=""),"",100*I14*K14)</x:f>
      </x:c>
      <x:c r="O14" s="308" t="str">
        <x:f>IF(OR(I14="",M14=""),"",I14*M14)</x:f>
      </x:c>
      <x:c r="P14" s="235"/>
      <x:c r="Q14" s="235"/>
      <x:c r="R14" s="235"/>
      <x:c r="S14" s="308" t="str">
        <x:f>IF(OR(A14="",B14=""),"",SUMIFS($I$2:$I$301,$A$2:$A$301,A14,$B$2:$B$301,B14))</x:f>
      </x:c>
      <x:c r="T14" s="233" t="str">
        <x:f>IF(B14="","",IF(ABS(S14-1)&gt;0.000001,"ERROR_SHARE",IF(OR(Q14&lt;&gt;"VERIFIED",R14&lt;&gt;"VERIFIED"),"CHECK_MAPPING","OK")))</x:f>
      </x:c>
      <x:c r="U14" s="297"/>
    </x:row>
    <x:row r="15">
      <x:c r="A15" s="293"/>
      <x:c r="B15" s="235"/>
      <x:c r="C15" s="294"/>
      <x:c r="D15" s="294"/>
      <x:c r="E15" s="314"/>
      <x:c r="F15" s="307" t="str">
        <x:f>IF(OR(A15="",B15="",C15=""),"",SUMIFS('04_SAKERNAS_AGG'!$K$2:$K$301,'04_SAKERNAS_AGG'!$E$2:$E$301,A15,'04_SAKERNAS_AGG'!$F$2:$F$301,B15,'04_SAKERNAS_AGG'!$H$2:$H$301,C15))</x:f>
      </x:c>
      <x:c r="G15" s="307" t="str">
        <x:f>IF(OR(E15="",F15=""),"",E15*F15)</x:f>
      </x:c>
      <x:c r="H15" s="307" t="str">
        <x:f>IF(OR(A15="",B15="",G15=""),"",SUMIFS($G$2:$G$301,$A$2:$A$301,A15,$B$2:$B$301,B15))</x:f>
      </x:c>
      <x:c r="I15" s="308" t="str">
        <x:f>IFERROR(G15/H15,"")</x:f>
      </x:c>
      <x:c r="J15" s="235"/>
      <x:c r="K15" s="235"/>
      <x:c r="L15" s="235"/>
      <x:c r="M15" s="235"/>
      <x:c r="N15" s="315" t="str">
        <x:f>IF(OR(I15="",K15=""),"",100*I15*K15)</x:f>
      </x:c>
      <x:c r="O15" s="308" t="str">
        <x:f>IF(OR(I15="",M15=""),"",I15*M15)</x:f>
      </x:c>
      <x:c r="P15" s="235"/>
      <x:c r="Q15" s="235"/>
      <x:c r="R15" s="235"/>
      <x:c r="S15" s="308" t="str">
        <x:f>IF(OR(A15="",B15=""),"",SUMIFS($I$2:$I$301,$A$2:$A$301,A15,$B$2:$B$301,B15))</x:f>
      </x:c>
      <x:c r="T15" s="233" t="str">
        <x:f>IF(B15="","",IF(ABS(S15-1)&gt;0.000001,"ERROR_SHARE",IF(OR(Q15&lt;&gt;"VERIFIED",R15&lt;&gt;"VERIFIED"),"CHECK_MAPPING","OK")))</x:f>
      </x:c>
      <x:c r="U15" s="297"/>
    </x:row>
    <x:row r="16">
      <x:c r="A16" s="293"/>
      <x:c r="B16" s="235"/>
      <x:c r="C16" s="294"/>
      <x:c r="D16" s="294"/>
      <x:c r="E16" s="314"/>
      <x:c r="F16" s="307" t="str">
        <x:f>IF(OR(A16="",B16="",C16=""),"",SUMIFS('04_SAKERNAS_AGG'!$K$2:$K$301,'04_SAKERNAS_AGG'!$E$2:$E$301,A16,'04_SAKERNAS_AGG'!$F$2:$F$301,B16,'04_SAKERNAS_AGG'!$H$2:$H$301,C16))</x:f>
      </x:c>
      <x:c r="G16" s="307" t="str">
        <x:f>IF(OR(E16="",F16=""),"",E16*F16)</x:f>
      </x:c>
      <x:c r="H16" s="307" t="str">
        <x:f>IF(OR(A16="",B16="",G16=""),"",SUMIFS($G$2:$G$301,$A$2:$A$301,A16,$B$2:$B$301,B16))</x:f>
      </x:c>
      <x:c r="I16" s="308" t="str">
        <x:f>IFERROR(G16/H16,"")</x:f>
      </x:c>
      <x:c r="J16" s="235"/>
      <x:c r="K16" s="235"/>
      <x:c r="L16" s="235"/>
      <x:c r="M16" s="235"/>
      <x:c r="N16" s="315" t="str">
        <x:f>IF(OR(I16="",K16=""),"",100*I16*K16)</x:f>
      </x:c>
      <x:c r="O16" s="308" t="str">
        <x:f>IF(OR(I16="",M16=""),"",I16*M16)</x:f>
      </x:c>
      <x:c r="P16" s="235"/>
      <x:c r="Q16" s="235"/>
      <x:c r="R16" s="235"/>
      <x:c r="S16" s="308" t="str">
        <x:f>IF(OR(A16="",B16=""),"",SUMIFS($I$2:$I$301,$A$2:$A$301,A16,$B$2:$B$301,B16))</x:f>
      </x:c>
      <x:c r="T16" s="233" t="str">
        <x:f>IF(B16="","",IF(ABS(S16-1)&gt;0.000001,"ERROR_SHARE",IF(OR(Q16&lt;&gt;"VERIFIED",R16&lt;&gt;"VERIFIED"),"CHECK_MAPPING","OK")))</x:f>
      </x:c>
      <x:c r="U16" s="297"/>
    </x:row>
    <x:row r="17">
      <x:c r="A17" s="293"/>
      <x:c r="B17" s="235"/>
      <x:c r="C17" s="294"/>
      <x:c r="D17" s="294"/>
      <x:c r="E17" s="314"/>
      <x:c r="F17" s="307" t="str">
        <x:f>IF(OR(A17="",B17="",C17=""),"",SUMIFS('04_SAKERNAS_AGG'!$K$2:$K$301,'04_SAKERNAS_AGG'!$E$2:$E$301,A17,'04_SAKERNAS_AGG'!$F$2:$F$301,B17,'04_SAKERNAS_AGG'!$H$2:$H$301,C17))</x:f>
      </x:c>
      <x:c r="G17" s="307" t="str">
        <x:f>IF(OR(E17="",F17=""),"",E17*F17)</x:f>
      </x:c>
      <x:c r="H17" s="307" t="str">
        <x:f>IF(OR(A17="",B17="",G17=""),"",SUMIFS($G$2:$G$301,$A$2:$A$301,A17,$B$2:$B$301,B17))</x:f>
      </x:c>
      <x:c r="I17" s="308" t="str">
        <x:f>IFERROR(G17/H17,"")</x:f>
      </x:c>
      <x:c r="J17" s="235"/>
      <x:c r="K17" s="235"/>
      <x:c r="L17" s="235"/>
      <x:c r="M17" s="235"/>
      <x:c r="N17" s="315" t="str">
        <x:f>IF(OR(I17="",K17=""),"",100*I17*K17)</x:f>
      </x:c>
      <x:c r="O17" s="308" t="str">
        <x:f>IF(OR(I17="",M17=""),"",I17*M17)</x:f>
      </x:c>
      <x:c r="P17" s="235"/>
      <x:c r="Q17" s="235"/>
      <x:c r="R17" s="235"/>
      <x:c r="S17" s="308" t="str">
        <x:f>IF(OR(A17="",B17=""),"",SUMIFS($I$2:$I$301,$A$2:$A$301,A17,$B$2:$B$301,B17))</x:f>
      </x:c>
      <x:c r="T17" s="233" t="str">
        <x:f>IF(B17="","",IF(ABS(S17-1)&gt;0.000001,"ERROR_SHARE",IF(OR(Q17&lt;&gt;"VERIFIED",R17&lt;&gt;"VERIFIED"),"CHECK_MAPPING","OK")))</x:f>
      </x:c>
      <x:c r="U17" s="297"/>
    </x:row>
    <x:row r="18">
      <x:c r="A18" s="293"/>
      <x:c r="B18" s="235"/>
      <x:c r="C18" s="294"/>
      <x:c r="D18" s="294"/>
      <x:c r="E18" s="314"/>
      <x:c r="F18" s="307" t="str">
        <x:f>IF(OR(A18="",B18="",C18=""),"",SUMIFS('04_SAKERNAS_AGG'!$K$2:$K$301,'04_SAKERNAS_AGG'!$E$2:$E$301,A18,'04_SAKERNAS_AGG'!$F$2:$F$301,B18,'04_SAKERNAS_AGG'!$H$2:$H$301,C18))</x:f>
      </x:c>
      <x:c r="G18" s="307" t="str">
        <x:f>IF(OR(E18="",F18=""),"",E18*F18)</x:f>
      </x:c>
      <x:c r="H18" s="307" t="str">
        <x:f>IF(OR(A18="",B18="",G18=""),"",SUMIFS($G$2:$G$301,$A$2:$A$301,A18,$B$2:$B$301,B18))</x:f>
      </x:c>
      <x:c r="I18" s="308" t="str">
        <x:f>IFERROR(G18/H18,"")</x:f>
      </x:c>
      <x:c r="J18" s="235"/>
      <x:c r="K18" s="235"/>
      <x:c r="L18" s="235"/>
      <x:c r="M18" s="235"/>
      <x:c r="N18" s="315" t="str">
        <x:f>IF(OR(I18="",K18=""),"",100*I18*K18)</x:f>
      </x:c>
      <x:c r="O18" s="308" t="str">
        <x:f>IF(OR(I18="",M18=""),"",I18*M18)</x:f>
      </x:c>
      <x:c r="P18" s="235"/>
      <x:c r="Q18" s="235"/>
      <x:c r="R18" s="235"/>
      <x:c r="S18" s="308" t="str">
        <x:f>IF(OR(A18="",B18=""),"",SUMIFS($I$2:$I$301,$A$2:$A$301,A18,$B$2:$B$301,B18))</x:f>
      </x:c>
      <x:c r="T18" s="233" t="str">
        <x:f>IF(B18="","",IF(ABS(S18-1)&gt;0.000001,"ERROR_SHARE",IF(OR(Q18&lt;&gt;"VERIFIED",R18&lt;&gt;"VERIFIED"),"CHECK_MAPPING","OK")))</x:f>
      </x:c>
      <x:c r="U18" s="297"/>
    </x:row>
    <x:row r="19">
      <x:c r="A19" s="293"/>
      <x:c r="B19" s="235"/>
      <x:c r="C19" s="294"/>
      <x:c r="D19" s="294"/>
      <x:c r="E19" s="314"/>
      <x:c r="F19" s="307" t="str">
        <x:f>IF(OR(A19="",B19="",C19=""),"",SUMIFS('04_SAKERNAS_AGG'!$K$2:$K$301,'04_SAKERNAS_AGG'!$E$2:$E$301,A19,'04_SAKERNAS_AGG'!$F$2:$F$301,B19,'04_SAKERNAS_AGG'!$H$2:$H$301,C19))</x:f>
      </x:c>
      <x:c r="G19" s="307" t="str">
        <x:f>IF(OR(E19="",F19=""),"",E19*F19)</x:f>
      </x:c>
      <x:c r="H19" s="307" t="str">
        <x:f>IF(OR(A19="",B19="",G19=""),"",SUMIFS($G$2:$G$301,$A$2:$A$301,A19,$B$2:$B$301,B19))</x:f>
      </x:c>
      <x:c r="I19" s="308" t="str">
        <x:f>IFERROR(G19/H19,"")</x:f>
      </x:c>
      <x:c r="J19" s="235"/>
      <x:c r="K19" s="235"/>
      <x:c r="L19" s="235"/>
      <x:c r="M19" s="235"/>
      <x:c r="N19" s="315" t="str">
        <x:f>IF(OR(I19="",K19=""),"",100*I19*K19)</x:f>
      </x:c>
      <x:c r="O19" s="308" t="str">
        <x:f>IF(OR(I19="",M19=""),"",I19*M19)</x:f>
      </x:c>
      <x:c r="P19" s="235"/>
      <x:c r="Q19" s="235"/>
      <x:c r="R19" s="235"/>
      <x:c r="S19" s="308" t="str">
        <x:f>IF(OR(A19="",B19=""),"",SUMIFS($I$2:$I$301,$A$2:$A$301,A19,$B$2:$B$301,B19))</x:f>
      </x:c>
      <x:c r="T19" s="233" t="str">
        <x:f>IF(B19="","",IF(ABS(S19-1)&gt;0.000001,"ERROR_SHARE",IF(OR(Q19&lt;&gt;"VERIFIED",R19&lt;&gt;"VERIFIED"),"CHECK_MAPPING","OK")))</x:f>
      </x:c>
      <x:c r="U19" s="297"/>
    </x:row>
    <x:row r="20">
      <x:c r="A20" s="293"/>
      <x:c r="B20" s="235"/>
      <x:c r="C20" s="294"/>
      <x:c r="D20" s="294"/>
      <x:c r="E20" s="314"/>
      <x:c r="F20" s="307" t="str">
        <x:f>IF(OR(A20="",B20="",C20=""),"",SUMIFS('04_SAKERNAS_AGG'!$K$2:$K$301,'04_SAKERNAS_AGG'!$E$2:$E$301,A20,'04_SAKERNAS_AGG'!$F$2:$F$301,B20,'04_SAKERNAS_AGG'!$H$2:$H$301,C20))</x:f>
      </x:c>
      <x:c r="G20" s="307" t="str">
        <x:f>IF(OR(E20="",F20=""),"",E20*F20)</x:f>
      </x:c>
      <x:c r="H20" s="307" t="str">
        <x:f>IF(OR(A20="",B20="",G20=""),"",SUMIFS($G$2:$G$301,$A$2:$A$301,A20,$B$2:$B$301,B20))</x:f>
      </x:c>
      <x:c r="I20" s="308" t="str">
        <x:f>IFERROR(G20/H20,"")</x:f>
      </x:c>
      <x:c r="J20" s="235"/>
      <x:c r="K20" s="235"/>
      <x:c r="L20" s="235"/>
      <x:c r="M20" s="235"/>
      <x:c r="N20" s="315" t="str">
        <x:f>IF(OR(I20="",K20=""),"",100*I20*K20)</x:f>
      </x:c>
      <x:c r="O20" s="308" t="str">
        <x:f>IF(OR(I20="",M20=""),"",I20*M20)</x:f>
      </x:c>
      <x:c r="P20" s="235"/>
      <x:c r="Q20" s="235"/>
      <x:c r="R20" s="235"/>
      <x:c r="S20" s="308" t="str">
        <x:f>IF(OR(A20="",B20=""),"",SUMIFS($I$2:$I$301,$A$2:$A$301,A20,$B$2:$B$301,B20))</x:f>
      </x:c>
      <x:c r="T20" s="233" t="str">
        <x:f>IF(B20="","",IF(ABS(S20-1)&gt;0.000001,"ERROR_SHARE",IF(OR(Q20&lt;&gt;"VERIFIED",R20&lt;&gt;"VERIFIED"),"CHECK_MAPPING","OK")))</x:f>
      </x:c>
      <x:c r="U20" s="297"/>
    </x:row>
    <x:row r="21">
      <x:c r="A21" s="293"/>
      <x:c r="B21" s="235"/>
      <x:c r="C21" s="294"/>
      <x:c r="D21" s="294"/>
      <x:c r="E21" s="314"/>
      <x:c r="F21" s="307" t="str">
        <x:f>IF(OR(A21="",B21="",C21=""),"",SUMIFS('04_SAKERNAS_AGG'!$K$2:$K$301,'04_SAKERNAS_AGG'!$E$2:$E$301,A21,'04_SAKERNAS_AGG'!$F$2:$F$301,B21,'04_SAKERNAS_AGG'!$H$2:$H$301,C21))</x:f>
      </x:c>
      <x:c r="G21" s="307" t="str">
        <x:f>IF(OR(E21="",F21=""),"",E21*F21)</x:f>
      </x:c>
      <x:c r="H21" s="307" t="str">
        <x:f>IF(OR(A21="",B21="",G21=""),"",SUMIFS($G$2:$G$301,$A$2:$A$301,A21,$B$2:$B$301,B21))</x:f>
      </x:c>
      <x:c r="I21" s="308" t="str">
        <x:f>IFERROR(G21/H21,"")</x:f>
      </x:c>
      <x:c r="J21" s="235"/>
      <x:c r="K21" s="235"/>
      <x:c r="L21" s="235"/>
      <x:c r="M21" s="235"/>
      <x:c r="N21" s="315" t="str">
        <x:f>IF(OR(I21="",K21=""),"",100*I21*K21)</x:f>
      </x:c>
      <x:c r="O21" s="308" t="str">
        <x:f>IF(OR(I21="",M21=""),"",I21*M21)</x:f>
      </x:c>
      <x:c r="P21" s="235"/>
      <x:c r="Q21" s="235"/>
      <x:c r="R21" s="235"/>
      <x:c r="S21" s="308" t="str">
        <x:f>IF(OR(A21="",B21=""),"",SUMIFS($I$2:$I$301,$A$2:$A$301,A21,$B$2:$B$301,B21))</x:f>
      </x:c>
      <x:c r="T21" s="233" t="str">
        <x:f>IF(B21="","",IF(ABS(S21-1)&gt;0.000001,"ERROR_SHARE",IF(OR(Q21&lt;&gt;"VERIFIED",R21&lt;&gt;"VERIFIED"),"CHECK_MAPPING","OK")))</x:f>
      </x:c>
      <x:c r="U21" s="297"/>
    </x:row>
    <x:row r="22">
      <x:c r="A22" s="293"/>
      <x:c r="B22" s="235"/>
      <x:c r="C22" s="294"/>
      <x:c r="D22" s="294"/>
      <x:c r="E22" s="314"/>
      <x:c r="F22" s="307" t="str">
        <x:f>IF(OR(A22="",B22="",C22=""),"",SUMIFS('04_SAKERNAS_AGG'!$K$2:$K$301,'04_SAKERNAS_AGG'!$E$2:$E$301,A22,'04_SAKERNAS_AGG'!$F$2:$F$301,B22,'04_SAKERNAS_AGG'!$H$2:$H$301,C22))</x:f>
      </x:c>
      <x:c r="G22" s="307" t="str">
        <x:f>IF(OR(E22="",F22=""),"",E22*F22)</x:f>
      </x:c>
      <x:c r="H22" s="307" t="str">
        <x:f>IF(OR(A22="",B22="",G22=""),"",SUMIFS($G$2:$G$301,$A$2:$A$301,A22,$B$2:$B$301,B22))</x:f>
      </x:c>
      <x:c r="I22" s="308" t="str">
        <x:f>IFERROR(G22/H22,"")</x:f>
      </x:c>
      <x:c r="J22" s="235"/>
      <x:c r="K22" s="235"/>
      <x:c r="L22" s="235"/>
      <x:c r="M22" s="235"/>
      <x:c r="N22" s="315" t="str">
        <x:f>IF(OR(I22="",K22=""),"",100*I22*K22)</x:f>
      </x:c>
      <x:c r="O22" s="308" t="str">
        <x:f>IF(OR(I22="",M22=""),"",I22*M22)</x:f>
      </x:c>
      <x:c r="P22" s="235"/>
      <x:c r="Q22" s="235"/>
      <x:c r="R22" s="235"/>
      <x:c r="S22" s="308" t="str">
        <x:f>IF(OR(A22="",B22=""),"",SUMIFS($I$2:$I$301,$A$2:$A$301,A22,$B$2:$B$301,B22))</x:f>
      </x:c>
      <x:c r="T22" s="233" t="str">
        <x:f>IF(B22="","",IF(ABS(S22-1)&gt;0.000001,"ERROR_SHARE",IF(OR(Q22&lt;&gt;"VERIFIED",R22&lt;&gt;"VERIFIED"),"CHECK_MAPPING","OK")))</x:f>
      </x:c>
      <x:c r="U22" s="297"/>
    </x:row>
    <x:row r="23">
      <x:c r="A23" s="293"/>
      <x:c r="B23" s="235"/>
      <x:c r="C23" s="294"/>
      <x:c r="D23" s="294"/>
      <x:c r="E23" s="314"/>
      <x:c r="F23" s="307" t="str">
        <x:f>IF(OR(A23="",B23="",C23=""),"",SUMIFS('04_SAKERNAS_AGG'!$K$2:$K$301,'04_SAKERNAS_AGG'!$E$2:$E$301,A23,'04_SAKERNAS_AGG'!$F$2:$F$301,B23,'04_SAKERNAS_AGG'!$H$2:$H$301,C23))</x:f>
      </x:c>
      <x:c r="G23" s="307" t="str">
        <x:f>IF(OR(E23="",F23=""),"",E23*F23)</x:f>
      </x:c>
      <x:c r="H23" s="307" t="str">
        <x:f>IF(OR(A23="",B23="",G23=""),"",SUMIFS($G$2:$G$301,$A$2:$A$301,A23,$B$2:$B$301,B23))</x:f>
      </x:c>
      <x:c r="I23" s="308" t="str">
        <x:f>IFERROR(G23/H23,"")</x:f>
      </x:c>
      <x:c r="J23" s="235"/>
      <x:c r="K23" s="235"/>
      <x:c r="L23" s="235"/>
      <x:c r="M23" s="235"/>
      <x:c r="N23" s="315" t="str">
        <x:f>IF(OR(I23="",K23=""),"",100*I23*K23)</x:f>
      </x:c>
      <x:c r="O23" s="308" t="str">
        <x:f>IF(OR(I23="",M23=""),"",I23*M23)</x:f>
      </x:c>
      <x:c r="P23" s="235"/>
      <x:c r="Q23" s="235"/>
      <x:c r="R23" s="235"/>
      <x:c r="S23" s="308" t="str">
        <x:f>IF(OR(A23="",B23=""),"",SUMIFS($I$2:$I$301,$A$2:$A$301,A23,$B$2:$B$301,B23))</x:f>
      </x:c>
      <x:c r="T23" s="233" t="str">
        <x:f>IF(B23="","",IF(ABS(S23-1)&gt;0.000001,"ERROR_SHARE",IF(OR(Q23&lt;&gt;"VERIFIED",R23&lt;&gt;"VERIFIED"),"CHECK_MAPPING","OK")))</x:f>
      </x:c>
      <x:c r="U23" s="297"/>
    </x:row>
    <x:row r="24">
      <x:c r="A24" s="293"/>
      <x:c r="B24" s="235"/>
      <x:c r="C24" s="294"/>
      <x:c r="D24" s="294"/>
      <x:c r="E24" s="314"/>
      <x:c r="F24" s="307" t="str">
        <x:f>IF(OR(A24="",B24="",C24=""),"",SUMIFS('04_SAKERNAS_AGG'!$K$2:$K$301,'04_SAKERNAS_AGG'!$E$2:$E$301,A24,'04_SAKERNAS_AGG'!$F$2:$F$301,B24,'04_SAKERNAS_AGG'!$H$2:$H$301,C24))</x:f>
      </x:c>
      <x:c r="G24" s="307" t="str">
        <x:f>IF(OR(E24="",F24=""),"",E24*F24)</x:f>
      </x:c>
      <x:c r="H24" s="307" t="str">
        <x:f>IF(OR(A24="",B24="",G24=""),"",SUMIFS($G$2:$G$301,$A$2:$A$301,A24,$B$2:$B$301,B24))</x:f>
      </x:c>
      <x:c r="I24" s="308" t="str">
        <x:f>IFERROR(G24/H24,"")</x:f>
      </x:c>
      <x:c r="J24" s="235"/>
      <x:c r="K24" s="235"/>
      <x:c r="L24" s="235"/>
      <x:c r="M24" s="235"/>
      <x:c r="N24" s="315" t="str">
        <x:f>IF(OR(I24="",K24=""),"",100*I24*K24)</x:f>
      </x:c>
      <x:c r="O24" s="308" t="str">
        <x:f>IF(OR(I24="",M24=""),"",I24*M24)</x:f>
      </x:c>
      <x:c r="P24" s="235"/>
      <x:c r="Q24" s="235"/>
      <x:c r="R24" s="235"/>
      <x:c r="S24" s="308" t="str">
        <x:f>IF(OR(A24="",B24=""),"",SUMIFS($I$2:$I$301,$A$2:$A$301,A24,$B$2:$B$301,B24))</x:f>
      </x:c>
      <x:c r="T24" s="233" t="str">
        <x:f>IF(B24="","",IF(ABS(S24-1)&gt;0.000001,"ERROR_SHARE",IF(OR(Q24&lt;&gt;"VERIFIED",R24&lt;&gt;"VERIFIED"),"CHECK_MAPPING","OK")))</x:f>
      </x:c>
      <x:c r="U24" s="297"/>
    </x:row>
    <x:row r="25">
      <x:c r="A25" s="293"/>
      <x:c r="B25" s="235"/>
      <x:c r="C25" s="294"/>
      <x:c r="D25" s="294"/>
      <x:c r="E25" s="314"/>
      <x:c r="F25" s="307" t="str">
        <x:f>IF(OR(A25="",B25="",C25=""),"",SUMIFS('04_SAKERNAS_AGG'!$K$2:$K$301,'04_SAKERNAS_AGG'!$E$2:$E$301,A25,'04_SAKERNAS_AGG'!$F$2:$F$301,B25,'04_SAKERNAS_AGG'!$H$2:$H$301,C25))</x:f>
      </x:c>
      <x:c r="G25" s="307" t="str">
        <x:f>IF(OR(E25="",F25=""),"",E25*F25)</x:f>
      </x:c>
      <x:c r="H25" s="307" t="str">
        <x:f>IF(OR(A25="",B25="",G25=""),"",SUMIFS($G$2:$G$301,$A$2:$A$301,A25,$B$2:$B$301,B25))</x:f>
      </x:c>
      <x:c r="I25" s="308" t="str">
        <x:f>IFERROR(G25/H25,"")</x:f>
      </x:c>
      <x:c r="J25" s="235"/>
      <x:c r="K25" s="235"/>
      <x:c r="L25" s="235"/>
      <x:c r="M25" s="235"/>
      <x:c r="N25" s="315" t="str">
        <x:f>IF(OR(I25="",K25=""),"",100*I25*K25)</x:f>
      </x:c>
      <x:c r="O25" s="308" t="str">
        <x:f>IF(OR(I25="",M25=""),"",I25*M25)</x:f>
      </x:c>
      <x:c r="P25" s="235"/>
      <x:c r="Q25" s="235"/>
      <x:c r="R25" s="235"/>
      <x:c r="S25" s="308" t="str">
        <x:f>IF(OR(A25="",B25=""),"",SUMIFS($I$2:$I$301,$A$2:$A$301,A25,$B$2:$B$301,B25))</x:f>
      </x:c>
      <x:c r="T25" s="233" t="str">
        <x:f>IF(B25="","",IF(ABS(S25-1)&gt;0.000001,"ERROR_SHARE",IF(OR(Q25&lt;&gt;"VERIFIED",R25&lt;&gt;"VERIFIED"),"CHECK_MAPPING","OK")))</x:f>
      </x:c>
      <x:c r="U25" s="297"/>
    </x:row>
    <x:row r="26">
      <x:c r="A26" s="293"/>
      <x:c r="B26" s="235"/>
      <x:c r="C26" s="294"/>
      <x:c r="D26" s="294"/>
      <x:c r="E26" s="314"/>
      <x:c r="F26" s="307" t="str">
        <x:f>IF(OR(A26="",B26="",C26=""),"",SUMIFS('04_SAKERNAS_AGG'!$K$2:$K$301,'04_SAKERNAS_AGG'!$E$2:$E$301,A26,'04_SAKERNAS_AGG'!$F$2:$F$301,B26,'04_SAKERNAS_AGG'!$H$2:$H$301,C26))</x:f>
      </x:c>
      <x:c r="G26" s="307" t="str">
        <x:f>IF(OR(E26="",F26=""),"",E26*F26)</x:f>
      </x:c>
      <x:c r="H26" s="307" t="str">
        <x:f>IF(OR(A26="",B26="",G26=""),"",SUMIFS($G$2:$G$301,$A$2:$A$301,A26,$B$2:$B$301,B26))</x:f>
      </x:c>
      <x:c r="I26" s="308" t="str">
        <x:f>IFERROR(G26/H26,"")</x:f>
      </x:c>
      <x:c r="J26" s="235"/>
      <x:c r="K26" s="235"/>
      <x:c r="L26" s="235"/>
      <x:c r="M26" s="235"/>
      <x:c r="N26" s="315" t="str">
        <x:f>IF(OR(I26="",K26=""),"",100*I26*K26)</x:f>
      </x:c>
      <x:c r="O26" s="308" t="str">
        <x:f>IF(OR(I26="",M26=""),"",I26*M26)</x:f>
      </x:c>
      <x:c r="P26" s="235"/>
      <x:c r="Q26" s="235"/>
      <x:c r="R26" s="235"/>
      <x:c r="S26" s="308" t="str">
        <x:f>IF(OR(A26="",B26=""),"",SUMIFS($I$2:$I$301,$A$2:$A$301,A26,$B$2:$B$301,B26))</x:f>
      </x:c>
      <x:c r="T26" s="233" t="str">
        <x:f>IF(B26="","",IF(ABS(S26-1)&gt;0.000001,"ERROR_SHARE",IF(OR(Q26&lt;&gt;"VERIFIED",R26&lt;&gt;"VERIFIED"),"CHECK_MAPPING","OK")))</x:f>
      </x:c>
      <x:c r="U26" s="297"/>
    </x:row>
    <x:row r="27">
      <x:c r="A27" s="293"/>
      <x:c r="B27" s="235"/>
      <x:c r="C27" s="294"/>
      <x:c r="D27" s="294"/>
      <x:c r="E27" s="314"/>
      <x:c r="F27" s="307" t="str">
        <x:f>IF(OR(A27="",B27="",C27=""),"",SUMIFS('04_SAKERNAS_AGG'!$K$2:$K$301,'04_SAKERNAS_AGG'!$E$2:$E$301,A27,'04_SAKERNAS_AGG'!$F$2:$F$301,B27,'04_SAKERNAS_AGG'!$H$2:$H$301,C27))</x:f>
      </x:c>
      <x:c r="G27" s="307" t="str">
        <x:f>IF(OR(E27="",F27=""),"",E27*F27)</x:f>
      </x:c>
      <x:c r="H27" s="307" t="str">
        <x:f>IF(OR(A27="",B27="",G27=""),"",SUMIFS($G$2:$G$301,$A$2:$A$301,A27,$B$2:$B$301,B27))</x:f>
      </x:c>
      <x:c r="I27" s="308" t="str">
        <x:f>IFERROR(G27/H27,"")</x:f>
      </x:c>
      <x:c r="J27" s="235"/>
      <x:c r="K27" s="235"/>
      <x:c r="L27" s="235"/>
      <x:c r="M27" s="235"/>
      <x:c r="N27" s="315" t="str">
        <x:f>IF(OR(I27="",K27=""),"",100*I27*K27)</x:f>
      </x:c>
      <x:c r="O27" s="308" t="str">
        <x:f>IF(OR(I27="",M27=""),"",I27*M27)</x:f>
      </x:c>
      <x:c r="P27" s="235"/>
      <x:c r="Q27" s="235"/>
      <x:c r="R27" s="235"/>
      <x:c r="S27" s="308" t="str">
        <x:f>IF(OR(A27="",B27=""),"",SUMIFS($I$2:$I$301,$A$2:$A$301,A27,$B$2:$B$301,B27))</x:f>
      </x:c>
      <x:c r="T27" s="233" t="str">
        <x:f>IF(B27="","",IF(ABS(S27-1)&gt;0.000001,"ERROR_SHARE",IF(OR(Q27&lt;&gt;"VERIFIED",R27&lt;&gt;"VERIFIED"),"CHECK_MAPPING","OK")))</x:f>
      </x:c>
      <x:c r="U27" s="297"/>
    </x:row>
    <x:row r="28">
      <x:c r="A28" s="293"/>
      <x:c r="B28" s="235"/>
      <x:c r="C28" s="294"/>
      <x:c r="D28" s="294"/>
      <x:c r="E28" s="314"/>
      <x:c r="F28" s="307" t="str">
        <x:f>IF(OR(A28="",B28="",C28=""),"",SUMIFS('04_SAKERNAS_AGG'!$K$2:$K$301,'04_SAKERNAS_AGG'!$E$2:$E$301,A28,'04_SAKERNAS_AGG'!$F$2:$F$301,B28,'04_SAKERNAS_AGG'!$H$2:$H$301,C28))</x:f>
      </x:c>
      <x:c r="G28" s="307" t="str">
        <x:f>IF(OR(E28="",F28=""),"",E28*F28)</x:f>
      </x:c>
      <x:c r="H28" s="307" t="str">
        <x:f>IF(OR(A28="",B28="",G28=""),"",SUMIFS($G$2:$G$301,$A$2:$A$301,A28,$B$2:$B$301,B28))</x:f>
      </x:c>
      <x:c r="I28" s="308" t="str">
        <x:f>IFERROR(G28/H28,"")</x:f>
      </x:c>
      <x:c r="J28" s="235"/>
      <x:c r="K28" s="235"/>
      <x:c r="L28" s="235"/>
      <x:c r="M28" s="235"/>
      <x:c r="N28" s="315" t="str">
        <x:f>IF(OR(I28="",K28=""),"",100*I28*K28)</x:f>
      </x:c>
      <x:c r="O28" s="308" t="str">
        <x:f>IF(OR(I28="",M28=""),"",I28*M28)</x:f>
      </x:c>
      <x:c r="P28" s="235"/>
      <x:c r="Q28" s="235"/>
      <x:c r="R28" s="235"/>
      <x:c r="S28" s="308" t="str">
        <x:f>IF(OR(A28="",B28=""),"",SUMIFS($I$2:$I$301,$A$2:$A$301,A28,$B$2:$B$301,B28))</x:f>
      </x:c>
      <x:c r="T28" s="233" t="str">
        <x:f>IF(B28="","",IF(ABS(S28-1)&gt;0.000001,"ERROR_SHARE",IF(OR(Q28&lt;&gt;"VERIFIED",R28&lt;&gt;"VERIFIED"),"CHECK_MAPPING","OK")))</x:f>
      </x:c>
      <x:c r="U28" s="297"/>
    </x:row>
    <x:row r="29">
      <x:c r="A29" s="293"/>
      <x:c r="B29" s="235"/>
      <x:c r="C29" s="294"/>
      <x:c r="D29" s="294"/>
      <x:c r="E29" s="314"/>
      <x:c r="F29" s="307" t="str">
        <x:f>IF(OR(A29="",B29="",C29=""),"",SUMIFS('04_SAKERNAS_AGG'!$K$2:$K$301,'04_SAKERNAS_AGG'!$E$2:$E$301,A29,'04_SAKERNAS_AGG'!$F$2:$F$301,B29,'04_SAKERNAS_AGG'!$H$2:$H$301,C29))</x:f>
      </x:c>
      <x:c r="G29" s="307" t="str">
        <x:f>IF(OR(E29="",F29=""),"",E29*F29)</x:f>
      </x:c>
      <x:c r="H29" s="307" t="str">
        <x:f>IF(OR(A29="",B29="",G29=""),"",SUMIFS($G$2:$G$301,$A$2:$A$301,A29,$B$2:$B$301,B29))</x:f>
      </x:c>
      <x:c r="I29" s="308" t="str">
        <x:f>IFERROR(G29/H29,"")</x:f>
      </x:c>
      <x:c r="J29" s="235"/>
      <x:c r="K29" s="235"/>
      <x:c r="L29" s="235"/>
      <x:c r="M29" s="235"/>
      <x:c r="N29" s="315" t="str">
        <x:f>IF(OR(I29="",K29=""),"",100*I29*K29)</x:f>
      </x:c>
      <x:c r="O29" s="308" t="str">
        <x:f>IF(OR(I29="",M29=""),"",I29*M29)</x:f>
      </x:c>
      <x:c r="P29" s="235"/>
      <x:c r="Q29" s="235"/>
      <x:c r="R29" s="235"/>
      <x:c r="S29" s="308" t="str">
        <x:f>IF(OR(A29="",B29=""),"",SUMIFS($I$2:$I$301,$A$2:$A$301,A29,$B$2:$B$301,B29))</x:f>
      </x:c>
      <x:c r="T29" s="233" t="str">
        <x:f>IF(B29="","",IF(ABS(S29-1)&gt;0.000001,"ERROR_SHARE",IF(OR(Q29&lt;&gt;"VERIFIED",R29&lt;&gt;"VERIFIED"),"CHECK_MAPPING","OK")))</x:f>
      </x:c>
      <x:c r="U29" s="297"/>
    </x:row>
    <x:row r="30">
      <x:c r="A30" s="293"/>
      <x:c r="B30" s="235"/>
      <x:c r="C30" s="294"/>
      <x:c r="D30" s="294"/>
      <x:c r="E30" s="314"/>
      <x:c r="F30" s="307" t="str">
        <x:f>IF(OR(A30="",B30="",C30=""),"",SUMIFS('04_SAKERNAS_AGG'!$K$2:$K$301,'04_SAKERNAS_AGG'!$E$2:$E$301,A30,'04_SAKERNAS_AGG'!$F$2:$F$301,B30,'04_SAKERNAS_AGG'!$H$2:$H$301,C30))</x:f>
      </x:c>
      <x:c r="G30" s="307" t="str">
        <x:f>IF(OR(E30="",F30=""),"",E30*F30)</x:f>
      </x:c>
      <x:c r="H30" s="307" t="str">
        <x:f>IF(OR(A30="",B30="",G30=""),"",SUMIFS($G$2:$G$301,$A$2:$A$301,A30,$B$2:$B$301,B30))</x:f>
      </x:c>
      <x:c r="I30" s="308" t="str">
        <x:f>IFERROR(G30/H30,"")</x:f>
      </x:c>
      <x:c r="J30" s="235"/>
      <x:c r="K30" s="235"/>
      <x:c r="L30" s="235"/>
      <x:c r="M30" s="235"/>
      <x:c r="N30" s="315" t="str">
        <x:f>IF(OR(I30="",K30=""),"",100*I30*K30)</x:f>
      </x:c>
      <x:c r="O30" s="308" t="str">
        <x:f>IF(OR(I30="",M30=""),"",I30*M30)</x:f>
      </x:c>
      <x:c r="P30" s="235"/>
      <x:c r="Q30" s="235"/>
      <x:c r="R30" s="235"/>
      <x:c r="S30" s="308" t="str">
        <x:f>IF(OR(A30="",B30=""),"",SUMIFS($I$2:$I$301,$A$2:$A$301,A30,$B$2:$B$301,B30))</x:f>
      </x:c>
      <x:c r="T30" s="233" t="str">
        <x:f>IF(B30="","",IF(ABS(S30-1)&gt;0.000001,"ERROR_SHARE",IF(OR(Q30&lt;&gt;"VERIFIED",R30&lt;&gt;"VERIFIED"),"CHECK_MAPPING","OK")))</x:f>
      </x:c>
      <x:c r="U30" s="297"/>
    </x:row>
    <x:row r="31">
      <x:c r="A31" s="293"/>
      <x:c r="B31" s="235"/>
      <x:c r="C31" s="294"/>
      <x:c r="D31" s="294"/>
      <x:c r="E31" s="314"/>
      <x:c r="F31" s="307" t="str">
        <x:f>IF(OR(A31="",B31="",C31=""),"",SUMIFS('04_SAKERNAS_AGG'!$K$2:$K$301,'04_SAKERNAS_AGG'!$E$2:$E$301,A31,'04_SAKERNAS_AGG'!$F$2:$F$301,B31,'04_SAKERNAS_AGG'!$H$2:$H$301,C31))</x:f>
      </x:c>
      <x:c r="G31" s="307" t="str">
        <x:f>IF(OR(E31="",F31=""),"",E31*F31)</x:f>
      </x:c>
      <x:c r="H31" s="307" t="str">
        <x:f>IF(OR(A31="",B31="",G31=""),"",SUMIFS($G$2:$G$301,$A$2:$A$301,A31,$B$2:$B$301,B31))</x:f>
      </x:c>
      <x:c r="I31" s="308" t="str">
        <x:f>IFERROR(G31/H31,"")</x:f>
      </x:c>
      <x:c r="J31" s="235"/>
      <x:c r="K31" s="235"/>
      <x:c r="L31" s="235"/>
      <x:c r="M31" s="235"/>
      <x:c r="N31" s="315" t="str">
        <x:f>IF(OR(I31="",K31=""),"",100*I31*K31)</x:f>
      </x:c>
      <x:c r="O31" s="308" t="str">
        <x:f>IF(OR(I31="",M31=""),"",I31*M31)</x:f>
      </x:c>
      <x:c r="P31" s="235"/>
      <x:c r="Q31" s="235"/>
      <x:c r="R31" s="235"/>
      <x:c r="S31" s="308" t="str">
        <x:f>IF(OR(A31="",B31=""),"",SUMIFS($I$2:$I$301,$A$2:$A$301,A31,$B$2:$B$301,B31))</x:f>
      </x:c>
      <x:c r="T31" s="233" t="str">
        <x:f>IF(B31="","",IF(ABS(S31-1)&gt;0.000001,"ERROR_SHARE",IF(OR(Q31&lt;&gt;"VERIFIED",R31&lt;&gt;"VERIFIED"),"CHECK_MAPPING","OK")))</x:f>
      </x:c>
      <x:c r="U31" s="297"/>
    </x:row>
    <x:row r="32">
      <x:c r="A32" s="293"/>
      <x:c r="B32" s="235"/>
      <x:c r="C32" s="294"/>
      <x:c r="D32" s="294"/>
      <x:c r="E32" s="314"/>
      <x:c r="F32" s="307" t="str">
        <x:f>IF(OR(A32="",B32="",C32=""),"",SUMIFS('04_SAKERNAS_AGG'!$K$2:$K$301,'04_SAKERNAS_AGG'!$E$2:$E$301,A32,'04_SAKERNAS_AGG'!$F$2:$F$301,B32,'04_SAKERNAS_AGG'!$H$2:$H$301,C32))</x:f>
      </x:c>
      <x:c r="G32" s="307" t="str">
        <x:f>IF(OR(E32="",F32=""),"",E32*F32)</x:f>
      </x:c>
      <x:c r="H32" s="307" t="str">
        <x:f>IF(OR(A32="",B32="",G32=""),"",SUMIFS($G$2:$G$301,$A$2:$A$301,A32,$B$2:$B$301,B32))</x:f>
      </x:c>
      <x:c r="I32" s="308" t="str">
        <x:f>IFERROR(G32/H32,"")</x:f>
      </x:c>
      <x:c r="J32" s="235"/>
      <x:c r="K32" s="235"/>
      <x:c r="L32" s="235"/>
      <x:c r="M32" s="235"/>
      <x:c r="N32" s="315" t="str">
        <x:f>IF(OR(I32="",K32=""),"",100*I32*K32)</x:f>
      </x:c>
      <x:c r="O32" s="308" t="str">
        <x:f>IF(OR(I32="",M32=""),"",I32*M32)</x:f>
      </x:c>
      <x:c r="P32" s="235"/>
      <x:c r="Q32" s="235"/>
      <x:c r="R32" s="235"/>
      <x:c r="S32" s="308" t="str">
        <x:f>IF(OR(A32="",B32=""),"",SUMIFS($I$2:$I$301,$A$2:$A$301,A32,$B$2:$B$301,B32))</x:f>
      </x:c>
      <x:c r="T32" s="233" t="str">
        <x:f>IF(B32="","",IF(ABS(S32-1)&gt;0.000001,"ERROR_SHARE",IF(OR(Q32&lt;&gt;"VERIFIED",R32&lt;&gt;"VERIFIED"),"CHECK_MAPPING","OK")))</x:f>
      </x:c>
      <x:c r="U32" s="297"/>
    </x:row>
    <x:row r="33">
      <x:c r="A33" s="293"/>
      <x:c r="B33" s="235"/>
      <x:c r="C33" s="294"/>
      <x:c r="D33" s="294"/>
      <x:c r="E33" s="314"/>
      <x:c r="F33" s="307" t="str">
        <x:f>IF(OR(A33="",B33="",C33=""),"",SUMIFS('04_SAKERNAS_AGG'!$K$2:$K$301,'04_SAKERNAS_AGG'!$E$2:$E$301,A33,'04_SAKERNAS_AGG'!$F$2:$F$301,B33,'04_SAKERNAS_AGG'!$H$2:$H$301,C33))</x:f>
      </x:c>
      <x:c r="G33" s="307" t="str">
        <x:f>IF(OR(E33="",F33=""),"",E33*F33)</x:f>
      </x:c>
      <x:c r="H33" s="307" t="str">
        <x:f>IF(OR(A33="",B33="",G33=""),"",SUMIFS($G$2:$G$301,$A$2:$A$301,A33,$B$2:$B$301,B33))</x:f>
      </x:c>
      <x:c r="I33" s="308" t="str">
        <x:f>IFERROR(G33/H33,"")</x:f>
      </x:c>
      <x:c r="J33" s="235"/>
      <x:c r="K33" s="235"/>
      <x:c r="L33" s="235"/>
      <x:c r="M33" s="235"/>
      <x:c r="N33" s="315" t="str">
        <x:f>IF(OR(I33="",K33=""),"",100*I33*K33)</x:f>
      </x:c>
      <x:c r="O33" s="308" t="str">
        <x:f>IF(OR(I33="",M33=""),"",I33*M33)</x:f>
      </x:c>
      <x:c r="P33" s="235"/>
      <x:c r="Q33" s="235"/>
      <x:c r="R33" s="235"/>
      <x:c r="S33" s="308" t="str">
        <x:f>IF(OR(A33="",B33=""),"",SUMIFS($I$2:$I$301,$A$2:$A$301,A33,$B$2:$B$301,B33))</x:f>
      </x:c>
      <x:c r="T33" s="233" t="str">
        <x:f>IF(B33="","",IF(ABS(S33-1)&gt;0.000001,"ERROR_SHARE",IF(OR(Q33&lt;&gt;"VERIFIED",R33&lt;&gt;"VERIFIED"),"CHECK_MAPPING","OK")))</x:f>
      </x:c>
      <x:c r="U33" s="297"/>
    </x:row>
    <x:row r="34">
      <x:c r="A34" s="293"/>
      <x:c r="B34" s="235"/>
      <x:c r="C34" s="294"/>
      <x:c r="D34" s="294"/>
      <x:c r="E34" s="314"/>
      <x:c r="F34" s="307" t="str">
        <x:f>IF(OR(A34="",B34="",C34=""),"",SUMIFS('04_SAKERNAS_AGG'!$K$2:$K$301,'04_SAKERNAS_AGG'!$E$2:$E$301,A34,'04_SAKERNAS_AGG'!$F$2:$F$301,B34,'04_SAKERNAS_AGG'!$H$2:$H$301,C34))</x:f>
      </x:c>
      <x:c r="G34" s="307" t="str">
        <x:f>IF(OR(E34="",F34=""),"",E34*F34)</x:f>
      </x:c>
      <x:c r="H34" s="307" t="str">
        <x:f>IF(OR(A34="",B34="",G34=""),"",SUMIFS($G$2:$G$301,$A$2:$A$301,A34,$B$2:$B$301,B34))</x:f>
      </x:c>
      <x:c r="I34" s="308" t="str">
        <x:f>IFERROR(G34/H34,"")</x:f>
      </x:c>
      <x:c r="J34" s="235"/>
      <x:c r="K34" s="235"/>
      <x:c r="L34" s="235"/>
      <x:c r="M34" s="235"/>
      <x:c r="N34" s="315" t="str">
        <x:f>IF(OR(I34="",K34=""),"",100*I34*K34)</x:f>
      </x:c>
      <x:c r="O34" s="308" t="str">
        <x:f>IF(OR(I34="",M34=""),"",I34*M34)</x:f>
      </x:c>
      <x:c r="P34" s="235"/>
      <x:c r="Q34" s="235"/>
      <x:c r="R34" s="235"/>
      <x:c r="S34" s="308" t="str">
        <x:f>IF(OR(A34="",B34=""),"",SUMIFS($I$2:$I$301,$A$2:$A$301,A34,$B$2:$B$301,B34))</x:f>
      </x:c>
      <x:c r="T34" s="233" t="str">
        <x:f>IF(B34="","",IF(ABS(S34-1)&gt;0.000001,"ERROR_SHARE",IF(OR(Q34&lt;&gt;"VERIFIED",R34&lt;&gt;"VERIFIED"),"CHECK_MAPPING","OK")))</x:f>
      </x:c>
      <x:c r="U34" s="297"/>
    </x:row>
    <x:row r="35">
      <x:c r="A35" s="293"/>
      <x:c r="B35" s="235"/>
      <x:c r="C35" s="294"/>
      <x:c r="D35" s="294"/>
      <x:c r="E35" s="314"/>
      <x:c r="F35" s="307" t="str">
        <x:f>IF(OR(A35="",B35="",C35=""),"",SUMIFS('04_SAKERNAS_AGG'!$K$2:$K$301,'04_SAKERNAS_AGG'!$E$2:$E$301,A35,'04_SAKERNAS_AGG'!$F$2:$F$301,B35,'04_SAKERNAS_AGG'!$H$2:$H$301,C35))</x:f>
      </x:c>
      <x:c r="G35" s="307" t="str">
        <x:f>IF(OR(E35="",F35=""),"",E35*F35)</x:f>
      </x:c>
      <x:c r="H35" s="307" t="str">
        <x:f>IF(OR(A35="",B35="",G35=""),"",SUMIFS($G$2:$G$301,$A$2:$A$301,A35,$B$2:$B$301,B35))</x:f>
      </x:c>
      <x:c r="I35" s="308" t="str">
        <x:f>IFERROR(G35/H35,"")</x:f>
      </x:c>
      <x:c r="J35" s="235"/>
      <x:c r="K35" s="235"/>
      <x:c r="L35" s="235"/>
      <x:c r="M35" s="235"/>
      <x:c r="N35" s="315" t="str">
        <x:f>IF(OR(I35="",K35=""),"",100*I35*K35)</x:f>
      </x:c>
      <x:c r="O35" s="308" t="str">
        <x:f>IF(OR(I35="",M35=""),"",I35*M35)</x:f>
      </x:c>
      <x:c r="P35" s="235"/>
      <x:c r="Q35" s="235"/>
      <x:c r="R35" s="235"/>
      <x:c r="S35" s="308" t="str">
        <x:f>IF(OR(A35="",B35=""),"",SUMIFS($I$2:$I$301,$A$2:$A$301,A35,$B$2:$B$301,B35))</x:f>
      </x:c>
      <x:c r="T35" s="233" t="str">
        <x:f>IF(B35="","",IF(ABS(S35-1)&gt;0.000001,"ERROR_SHARE",IF(OR(Q35&lt;&gt;"VERIFIED",R35&lt;&gt;"VERIFIED"),"CHECK_MAPPING","OK")))</x:f>
      </x:c>
      <x:c r="U35" s="297"/>
    </x:row>
    <x:row r="36">
      <x:c r="A36" s="293"/>
      <x:c r="B36" s="235"/>
      <x:c r="C36" s="294"/>
      <x:c r="D36" s="294"/>
      <x:c r="E36" s="314"/>
      <x:c r="F36" s="307" t="str">
        <x:f>IF(OR(A36="",B36="",C36=""),"",SUMIFS('04_SAKERNAS_AGG'!$K$2:$K$301,'04_SAKERNAS_AGG'!$E$2:$E$301,A36,'04_SAKERNAS_AGG'!$F$2:$F$301,B36,'04_SAKERNAS_AGG'!$H$2:$H$301,C36))</x:f>
      </x:c>
      <x:c r="G36" s="307" t="str">
        <x:f>IF(OR(E36="",F36=""),"",E36*F36)</x:f>
      </x:c>
      <x:c r="H36" s="307" t="str">
        <x:f>IF(OR(A36="",B36="",G36=""),"",SUMIFS($G$2:$G$301,$A$2:$A$301,A36,$B$2:$B$301,B36))</x:f>
      </x:c>
      <x:c r="I36" s="308" t="str">
        <x:f>IFERROR(G36/H36,"")</x:f>
      </x:c>
      <x:c r="J36" s="235"/>
      <x:c r="K36" s="235"/>
      <x:c r="L36" s="235"/>
      <x:c r="M36" s="235"/>
      <x:c r="N36" s="315" t="str">
        <x:f>IF(OR(I36="",K36=""),"",100*I36*K36)</x:f>
      </x:c>
      <x:c r="O36" s="308" t="str">
        <x:f>IF(OR(I36="",M36=""),"",I36*M36)</x:f>
      </x:c>
      <x:c r="P36" s="235"/>
      <x:c r="Q36" s="235"/>
      <x:c r="R36" s="235"/>
      <x:c r="S36" s="308" t="str">
        <x:f>IF(OR(A36="",B36=""),"",SUMIFS($I$2:$I$301,$A$2:$A$301,A36,$B$2:$B$301,B36))</x:f>
      </x:c>
      <x:c r="T36" s="233" t="str">
        <x:f>IF(B36="","",IF(ABS(S36-1)&gt;0.000001,"ERROR_SHARE",IF(OR(Q36&lt;&gt;"VERIFIED",R36&lt;&gt;"VERIFIED"),"CHECK_MAPPING","OK")))</x:f>
      </x:c>
      <x:c r="U36" s="297"/>
    </x:row>
    <x:row r="37">
      <x:c r="A37" s="293"/>
      <x:c r="B37" s="235"/>
      <x:c r="C37" s="294"/>
      <x:c r="D37" s="294"/>
      <x:c r="E37" s="314"/>
      <x:c r="F37" s="307" t="str">
        <x:f>IF(OR(A37="",B37="",C37=""),"",SUMIFS('04_SAKERNAS_AGG'!$K$2:$K$301,'04_SAKERNAS_AGG'!$E$2:$E$301,A37,'04_SAKERNAS_AGG'!$F$2:$F$301,B37,'04_SAKERNAS_AGG'!$H$2:$H$301,C37))</x:f>
      </x:c>
      <x:c r="G37" s="307" t="str">
        <x:f>IF(OR(E37="",F37=""),"",E37*F37)</x:f>
      </x:c>
      <x:c r="H37" s="307" t="str">
        <x:f>IF(OR(A37="",B37="",G37=""),"",SUMIFS($G$2:$G$301,$A$2:$A$301,A37,$B$2:$B$301,B37))</x:f>
      </x:c>
      <x:c r="I37" s="308" t="str">
        <x:f>IFERROR(G37/H37,"")</x:f>
      </x:c>
      <x:c r="J37" s="235"/>
      <x:c r="K37" s="235"/>
      <x:c r="L37" s="235"/>
      <x:c r="M37" s="235"/>
      <x:c r="N37" s="315" t="str">
        <x:f>IF(OR(I37="",K37=""),"",100*I37*K37)</x:f>
      </x:c>
      <x:c r="O37" s="308" t="str">
        <x:f>IF(OR(I37="",M37=""),"",I37*M37)</x:f>
      </x:c>
      <x:c r="P37" s="235"/>
      <x:c r="Q37" s="235"/>
      <x:c r="R37" s="235"/>
      <x:c r="S37" s="308" t="str">
        <x:f>IF(OR(A37="",B37=""),"",SUMIFS($I$2:$I$301,$A$2:$A$301,A37,$B$2:$B$301,B37))</x:f>
      </x:c>
      <x:c r="T37" s="233" t="str">
        <x:f>IF(B37="","",IF(ABS(S37-1)&gt;0.000001,"ERROR_SHARE",IF(OR(Q37&lt;&gt;"VERIFIED",R37&lt;&gt;"VERIFIED"),"CHECK_MAPPING","OK")))</x:f>
      </x:c>
      <x:c r="U37" s="297"/>
    </x:row>
    <x:row r="38">
      <x:c r="A38" s="293"/>
      <x:c r="B38" s="235"/>
      <x:c r="C38" s="294"/>
      <x:c r="D38" s="294"/>
      <x:c r="E38" s="314"/>
      <x:c r="F38" s="307" t="str">
        <x:f>IF(OR(A38="",B38="",C38=""),"",SUMIFS('04_SAKERNAS_AGG'!$K$2:$K$301,'04_SAKERNAS_AGG'!$E$2:$E$301,A38,'04_SAKERNAS_AGG'!$F$2:$F$301,B38,'04_SAKERNAS_AGG'!$H$2:$H$301,C38))</x:f>
      </x:c>
      <x:c r="G38" s="307" t="str">
        <x:f>IF(OR(E38="",F38=""),"",E38*F38)</x:f>
      </x:c>
      <x:c r="H38" s="307" t="str">
        <x:f>IF(OR(A38="",B38="",G38=""),"",SUMIFS($G$2:$G$301,$A$2:$A$301,A38,$B$2:$B$301,B38))</x:f>
      </x:c>
      <x:c r="I38" s="308" t="str">
        <x:f>IFERROR(G38/H38,"")</x:f>
      </x:c>
      <x:c r="J38" s="235"/>
      <x:c r="K38" s="235"/>
      <x:c r="L38" s="235"/>
      <x:c r="M38" s="235"/>
      <x:c r="N38" s="315" t="str">
        <x:f>IF(OR(I38="",K38=""),"",100*I38*K38)</x:f>
      </x:c>
      <x:c r="O38" s="308" t="str">
        <x:f>IF(OR(I38="",M38=""),"",I38*M38)</x:f>
      </x:c>
      <x:c r="P38" s="235"/>
      <x:c r="Q38" s="235"/>
      <x:c r="R38" s="235"/>
      <x:c r="S38" s="308" t="str">
        <x:f>IF(OR(A38="",B38=""),"",SUMIFS($I$2:$I$301,$A$2:$A$301,A38,$B$2:$B$301,B38))</x:f>
      </x:c>
      <x:c r="T38" s="233" t="str">
        <x:f>IF(B38="","",IF(ABS(S38-1)&gt;0.000001,"ERROR_SHARE",IF(OR(Q38&lt;&gt;"VERIFIED",R38&lt;&gt;"VERIFIED"),"CHECK_MAPPING","OK")))</x:f>
      </x:c>
      <x:c r="U38" s="297"/>
    </x:row>
    <x:row r="39">
      <x:c r="A39" s="293"/>
      <x:c r="B39" s="235"/>
      <x:c r="C39" s="294"/>
      <x:c r="D39" s="294"/>
      <x:c r="E39" s="314"/>
      <x:c r="F39" s="307" t="str">
        <x:f>IF(OR(A39="",B39="",C39=""),"",SUMIFS('04_SAKERNAS_AGG'!$K$2:$K$301,'04_SAKERNAS_AGG'!$E$2:$E$301,A39,'04_SAKERNAS_AGG'!$F$2:$F$301,B39,'04_SAKERNAS_AGG'!$H$2:$H$301,C39))</x:f>
      </x:c>
      <x:c r="G39" s="307" t="str">
        <x:f>IF(OR(E39="",F39=""),"",E39*F39)</x:f>
      </x:c>
      <x:c r="H39" s="307" t="str">
        <x:f>IF(OR(A39="",B39="",G39=""),"",SUMIFS($G$2:$G$301,$A$2:$A$301,A39,$B$2:$B$301,B39))</x:f>
      </x:c>
      <x:c r="I39" s="308" t="str">
        <x:f>IFERROR(G39/H39,"")</x:f>
      </x:c>
      <x:c r="J39" s="235"/>
      <x:c r="K39" s="235"/>
      <x:c r="L39" s="235"/>
      <x:c r="M39" s="235"/>
      <x:c r="N39" s="315" t="str">
        <x:f>IF(OR(I39="",K39=""),"",100*I39*K39)</x:f>
      </x:c>
      <x:c r="O39" s="308" t="str">
        <x:f>IF(OR(I39="",M39=""),"",I39*M39)</x:f>
      </x:c>
      <x:c r="P39" s="235"/>
      <x:c r="Q39" s="235"/>
      <x:c r="R39" s="235"/>
      <x:c r="S39" s="308" t="str">
        <x:f>IF(OR(A39="",B39=""),"",SUMIFS($I$2:$I$301,$A$2:$A$301,A39,$B$2:$B$301,B39))</x:f>
      </x:c>
      <x:c r="T39" s="233" t="str">
        <x:f>IF(B39="","",IF(ABS(S39-1)&gt;0.000001,"ERROR_SHARE",IF(OR(Q39&lt;&gt;"VERIFIED",R39&lt;&gt;"VERIFIED"),"CHECK_MAPPING","OK")))</x:f>
      </x:c>
      <x:c r="U39" s="297"/>
    </x:row>
    <x:row r="40">
      <x:c r="A40" s="293"/>
      <x:c r="B40" s="235"/>
      <x:c r="C40" s="294"/>
      <x:c r="D40" s="294"/>
      <x:c r="E40" s="314"/>
      <x:c r="F40" s="307" t="str">
        <x:f>IF(OR(A40="",B40="",C40=""),"",SUMIFS('04_SAKERNAS_AGG'!$K$2:$K$301,'04_SAKERNAS_AGG'!$E$2:$E$301,A40,'04_SAKERNAS_AGG'!$F$2:$F$301,B40,'04_SAKERNAS_AGG'!$H$2:$H$301,C40))</x:f>
      </x:c>
      <x:c r="G40" s="307" t="str">
        <x:f>IF(OR(E40="",F40=""),"",E40*F40)</x:f>
      </x:c>
      <x:c r="H40" s="307" t="str">
        <x:f>IF(OR(A40="",B40="",G40=""),"",SUMIFS($G$2:$G$301,$A$2:$A$301,A40,$B$2:$B$301,B40))</x:f>
      </x:c>
      <x:c r="I40" s="308" t="str">
        <x:f>IFERROR(G40/H40,"")</x:f>
      </x:c>
      <x:c r="J40" s="235"/>
      <x:c r="K40" s="235"/>
      <x:c r="L40" s="235"/>
      <x:c r="M40" s="235"/>
      <x:c r="N40" s="315" t="str">
        <x:f>IF(OR(I40="",K40=""),"",100*I40*K40)</x:f>
      </x:c>
      <x:c r="O40" s="308" t="str">
        <x:f>IF(OR(I40="",M40=""),"",I40*M40)</x:f>
      </x:c>
      <x:c r="P40" s="235"/>
      <x:c r="Q40" s="235"/>
      <x:c r="R40" s="235"/>
      <x:c r="S40" s="308" t="str">
        <x:f>IF(OR(A40="",B40=""),"",SUMIFS($I$2:$I$301,$A$2:$A$301,A40,$B$2:$B$301,B40))</x:f>
      </x:c>
      <x:c r="T40" s="233" t="str">
        <x:f>IF(B40="","",IF(ABS(S40-1)&gt;0.000001,"ERROR_SHARE",IF(OR(Q40&lt;&gt;"VERIFIED",R40&lt;&gt;"VERIFIED"),"CHECK_MAPPING","OK")))</x:f>
      </x:c>
      <x:c r="U40" s="297"/>
    </x:row>
    <x:row r="41">
      <x:c r="A41" s="293"/>
      <x:c r="B41" s="235"/>
      <x:c r="C41" s="294"/>
      <x:c r="D41" s="294"/>
      <x:c r="E41" s="314"/>
      <x:c r="F41" s="307" t="str">
        <x:f>IF(OR(A41="",B41="",C41=""),"",SUMIFS('04_SAKERNAS_AGG'!$K$2:$K$301,'04_SAKERNAS_AGG'!$E$2:$E$301,A41,'04_SAKERNAS_AGG'!$F$2:$F$301,B41,'04_SAKERNAS_AGG'!$H$2:$H$301,C41))</x:f>
      </x:c>
      <x:c r="G41" s="307" t="str">
        <x:f>IF(OR(E41="",F41=""),"",E41*F41)</x:f>
      </x:c>
      <x:c r="H41" s="307" t="str">
        <x:f>IF(OR(A41="",B41="",G41=""),"",SUMIFS($G$2:$G$301,$A$2:$A$301,A41,$B$2:$B$301,B41))</x:f>
      </x:c>
      <x:c r="I41" s="308" t="str">
        <x:f>IFERROR(G41/H41,"")</x:f>
      </x:c>
      <x:c r="J41" s="235"/>
      <x:c r="K41" s="235"/>
      <x:c r="L41" s="235"/>
      <x:c r="M41" s="235"/>
      <x:c r="N41" s="315" t="str">
        <x:f>IF(OR(I41="",K41=""),"",100*I41*K41)</x:f>
      </x:c>
      <x:c r="O41" s="308" t="str">
        <x:f>IF(OR(I41="",M41=""),"",I41*M41)</x:f>
      </x:c>
      <x:c r="P41" s="235"/>
      <x:c r="Q41" s="235"/>
      <x:c r="R41" s="235"/>
      <x:c r="S41" s="308" t="str">
        <x:f>IF(OR(A41="",B41=""),"",SUMIFS($I$2:$I$301,$A$2:$A$301,A41,$B$2:$B$301,B41))</x:f>
      </x:c>
      <x:c r="T41" s="233" t="str">
        <x:f>IF(B41="","",IF(ABS(S41-1)&gt;0.000001,"ERROR_SHARE",IF(OR(Q41&lt;&gt;"VERIFIED",R41&lt;&gt;"VERIFIED"),"CHECK_MAPPING","OK")))</x:f>
      </x:c>
      <x:c r="U41" s="297"/>
    </x:row>
    <x:row r="42">
      <x:c r="A42" s="293"/>
      <x:c r="B42" s="235"/>
      <x:c r="C42" s="294"/>
      <x:c r="D42" s="294"/>
      <x:c r="E42" s="314"/>
      <x:c r="F42" s="307" t="str">
        <x:f>IF(OR(A42="",B42="",C42=""),"",SUMIFS('04_SAKERNAS_AGG'!$K$2:$K$301,'04_SAKERNAS_AGG'!$E$2:$E$301,A42,'04_SAKERNAS_AGG'!$F$2:$F$301,B42,'04_SAKERNAS_AGG'!$H$2:$H$301,C42))</x:f>
      </x:c>
      <x:c r="G42" s="307" t="str">
        <x:f>IF(OR(E42="",F42=""),"",E42*F42)</x:f>
      </x:c>
      <x:c r="H42" s="307" t="str">
        <x:f>IF(OR(A42="",B42="",G42=""),"",SUMIFS($G$2:$G$301,$A$2:$A$301,A42,$B$2:$B$301,B42))</x:f>
      </x:c>
      <x:c r="I42" s="308" t="str">
        <x:f>IFERROR(G42/H42,"")</x:f>
      </x:c>
      <x:c r="J42" s="235"/>
      <x:c r="K42" s="235"/>
      <x:c r="L42" s="235"/>
      <x:c r="M42" s="235"/>
      <x:c r="N42" s="315" t="str">
        <x:f>IF(OR(I42="",K42=""),"",100*I42*K42)</x:f>
      </x:c>
      <x:c r="O42" s="308" t="str">
        <x:f>IF(OR(I42="",M42=""),"",I42*M42)</x:f>
      </x:c>
      <x:c r="P42" s="235"/>
      <x:c r="Q42" s="235"/>
      <x:c r="R42" s="235"/>
      <x:c r="S42" s="308" t="str">
        <x:f>IF(OR(A42="",B42=""),"",SUMIFS($I$2:$I$301,$A$2:$A$301,A42,$B$2:$B$301,B42))</x:f>
      </x:c>
      <x:c r="T42" s="233" t="str">
        <x:f>IF(B42="","",IF(ABS(S42-1)&gt;0.000001,"ERROR_SHARE",IF(OR(Q42&lt;&gt;"VERIFIED",R42&lt;&gt;"VERIFIED"),"CHECK_MAPPING","OK")))</x:f>
      </x:c>
      <x:c r="U42" s="297"/>
    </x:row>
    <x:row r="43">
      <x:c r="A43" s="293"/>
      <x:c r="B43" s="235"/>
      <x:c r="C43" s="294"/>
      <x:c r="D43" s="294"/>
      <x:c r="E43" s="314"/>
      <x:c r="F43" s="307" t="str">
        <x:f>IF(OR(A43="",B43="",C43=""),"",SUMIFS('04_SAKERNAS_AGG'!$K$2:$K$301,'04_SAKERNAS_AGG'!$E$2:$E$301,A43,'04_SAKERNAS_AGG'!$F$2:$F$301,B43,'04_SAKERNAS_AGG'!$H$2:$H$301,C43))</x:f>
      </x:c>
      <x:c r="G43" s="307" t="str">
        <x:f>IF(OR(E43="",F43=""),"",E43*F43)</x:f>
      </x:c>
      <x:c r="H43" s="307" t="str">
        <x:f>IF(OR(A43="",B43="",G43=""),"",SUMIFS($G$2:$G$301,$A$2:$A$301,A43,$B$2:$B$301,B43))</x:f>
      </x:c>
      <x:c r="I43" s="308" t="str">
        <x:f>IFERROR(G43/H43,"")</x:f>
      </x:c>
      <x:c r="J43" s="235"/>
      <x:c r="K43" s="235"/>
      <x:c r="L43" s="235"/>
      <x:c r="M43" s="235"/>
      <x:c r="N43" s="315" t="str">
        <x:f>IF(OR(I43="",K43=""),"",100*I43*K43)</x:f>
      </x:c>
      <x:c r="O43" s="308" t="str">
        <x:f>IF(OR(I43="",M43=""),"",I43*M43)</x:f>
      </x:c>
      <x:c r="P43" s="235"/>
      <x:c r="Q43" s="235"/>
      <x:c r="R43" s="235"/>
      <x:c r="S43" s="308" t="str">
        <x:f>IF(OR(A43="",B43=""),"",SUMIFS($I$2:$I$301,$A$2:$A$301,A43,$B$2:$B$301,B43))</x:f>
      </x:c>
      <x:c r="T43" s="233" t="str">
        <x:f>IF(B43="","",IF(ABS(S43-1)&gt;0.000001,"ERROR_SHARE",IF(OR(Q43&lt;&gt;"VERIFIED",R43&lt;&gt;"VERIFIED"),"CHECK_MAPPING","OK")))</x:f>
      </x:c>
      <x:c r="U43" s="297"/>
    </x:row>
    <x:row r="44">
      <x:c r="A44" s="293"/>
      <x:c r="B44" s="235"/>
      <x:c r="C44" s="294"/>
      <x:c r="D44" s="294"/>
      <x:c r="E44" s="314"/>
      <x:c r="F44" s="307" t="str">
        <x:f>IF(OR(A44="",B44="",C44=""),"",SUMIFS('04_SAKERNAS_AGG'!$K$2:$K$301,'04_SAKERNAS_AGG'!$E$2:$E$301,A44,'04_SAKERNAS_AGG'!$F$2:$F$301,B44,'04_SAKERNAS_AGG'!$H$2:$H$301,C44))</x:f>
      </x:c>
      <x:c r="G44" s="307" t="str">
        <x:f>IF(OR(E44="",F44=""),"",E44*F44)</x:f>
      </x:c>
      <x:c r="H44" s="307" t="str">
        <x:f>IF(OR(A44="",B44="",G44=""),"",SUMIFS($G$2:$G$301,$A$2:$A$301,A44,$B$2:$B$301,B44))</x:f>
      </x:c>
      <x:c r="I44" s="308" t="str">
        <x:f>IFERROR(G44/H44,"")</x:f>
      </x:c>
      <x:c r="J44" s="235"/>
      <x:c r="K44" s="235"/>
      <x:c r="L44" s="235"/>
      <x:c r="M44" s="235"/>
      <x:c r="N44" s="315" t="str">
        <x:f>IF(OR(I44="",K44=""),"",100*I44*K44)</x:f>
      </x:c>
      <x:c r="O44" s="308" t="str">
        <x:f>IF(OR(I44="",M44=""),"",I44*M44)</x:f>
      </x:c>
      <x:c r="P44" s="235"/>
      <x:c r="Q44" s="235"/>
      <x:c r="R44" s="235"/>
      <x:c r="S44" s="308" t="str">
        <x:f>IF(OR(A44="",B44=""),"",SUMIFS($I$2:$I$301,$A$2:$A$301,A44,$B$2:$B$301,B44))</x:f>
      </x:c>
      <x:c r="T44" s="233" t="str">
        <x:f>IF(B44="","",IF(ABS(S44-1)&gt;0.000001,"ERROR_SHARE",IF(OR(Q44&lt;&gt;"VERIFIED",R44&lt;&gt;"VERIFIED"),"CHECK_MAPPING","OK")))</x:f>
      </x:c>
      <x:c r="U44" s="297"/>
    </x:row>
    <x:row r="45">
      <x:c r="A45" s="293"/>
      <x:c r="B45" s="235"/>
      <x:c r="C45" s="294"/>
      <x:c r="D45" s="294"/>
      <x:c r="E45" s="314"/>
      <x:c r="F45" s="307" t="str">
        <x:f>IF(OR(A45="",B45="",C45=""),"",SUMIFS('04_SAKERNAS_AGG'!$K$2:$K$301,'04_SAKERNAS_AGG'!$E$2:$E$301,A45,'04_SAKERNAS_AGG'!$F$2:$F$301,B45,'04_SAKERNAS_AGG'!$H$2:$H$301,C45))</x:f>
      </x:c>
      <x:c r="G45" s="307" t="str">
        <x:f>IF(OR(E45="",F45=""),"",E45*F45)</x:f>
      </x:c>
      <x:c r="H45" s="307" t="str">
        <x:f>IF(OR(A45="",B45="",G45=""),"",SUMIFS($G$2:$G$301,$A$2:$A$301,A45,$B$2:$B$301,B45))</x:f>
      </x:c>
      <x:c r="I45" s="308" t="str">
        <x:f>IFERROR(G45/H45,"")</x:f>
      </x:c>
      <x:c r="J45" s="235"/>
      <x:c r="K45" s="235"/>
      <x:c r="L45" s="235"/>
      <x:c r="M45" s="235"/>
      <x:c r="N45" s="315" t="str">
        <x:f>IF(OR(I45="",K45=""),"",100*I45*K45)</x:f>
      </x:c>
      <x:c r="O45" s="308" t="str">
        <x:f>IF(OR(I45="",M45=""),"",I45*M45)</x:f>
      </x:c>
      <x:c r="P45" s="235"/>
      <x:c r="Q45" s="235"/>
      <x:c r="R45" s="235"/>
      <x:c r="S45" s="308" t="str">
        <x:f>IF(OR(A45="",B45=""),"",SUMIFS($I$2:$I$301,$A$2:$A$301,A45,$B$2:$B$301,B45))</x:f>
      </x:c>
      <x:c r="T45" s="233" t="str">
        <x:f>IF(B45="","",IF(ABS(S45-1)&gt;0.000001,"ERROR_SHARE",IF(OR(Q45&lt;&gt;"VERIFIED",R45&lt;&gt;"VERIFIED"),"CHECK_MAPPING","OK")))</x:f>
      </x:c>
      <x:c r="U45" s="297"/>
    </x:row>
    <x:row r="46">
      <x:c r="A46" s="293"/>
      <x:c r="B46" s="235"/>
      <x:c r="C46" s="294"/>
      <x:c r="D46" s="294"/>
      <x:c r="E46" s="314"/>
      <x:c r="F46" s="307" t="str">
        <x:f>IF(OR(A46="",B46="",C46=""),"",SUMIFS('04_SAKERNAS_AGG'!$K$2:$K$301,'04_SAKERNAS_AGG'!$E$2:$E$301,A46,'04_SAKERNAS_AGG'!$F$2:$F$301,B46,'04_SAKERNAS_AGG'!$H$2:$H$301,C46))</x:f>
      </x:c>
      <x:c r="G46" s="307" t="str">
        <x:f>IF(OR(E46="",F46=""),"",E46*F46)</x:f>
      </x:c>
      <x:c r="H46" s="307" t="str">
        <x:f>IF(OR(A46="",B46="",G46=""),"",SUMIFS($G$2:$G$301,$A$2:$A$301,A46,$B$2:$B$301,B46))</x:f>
      </x:c>
      <x:c r="I46" s="308" t="str">
        <x:f>IFERROR(G46/H46,"")</x:f>
      </x:c>
      <x:c r="J46" s="235"/>
      <x:c r="K46" s="235"/>
      <x:c r="L46" s="235"/>
      <x:c r="M46" s="235"/>
      <x:c r="N46" s="315" t="str">
        <x:f>IF(OR(I46="",K46=""),"",100*I46*K46)</x:f>
      </x:c>
      <x:c r="O46" s="308" t="str">
        <x:f>IF(OR(I46="",M46=""),"",I46*M46)</x:f>
      </x:c>
      <x:c r="P46" s="235"/>
      <x:c r="Q46" s="235"/>
      <x:c r="R46" s="235"/>
      <x:c r="S46" s="308" t="str">
        <x:f>IF(OR(A46="",B46=""),"",SUMIFS($I$2:$I$301,$A$2:$A$301,A46,$B$2:$B$301,B46))</x:f>
      </x:c>
      <x:c r="T46" s="233" t="str">
        <x:f>IF(B46="","",IF(ABS(S46-1)&gt;0.000001,"ERROR_SHARE",IF(OR(Q46&lt;&gt;"VERIFIED",R46&lt;&gt;"VERIFIED"),"CHECK_MAPPING","OK")))</x:f>
      </x:c>
      <x:c r="U46" s="297"/>
    </x:row>
    <x:row r="47">
      <x:c r="A47" s="293"/>
      <x:c r="B47" s="235"/>
      <x:c r="C47" s="294"/>
      <x:c r="D47" s="294"/>
      <x:c r="E47" s="314"/>
      <x:c r="F47" s="307" t="str">
        <x:f>IF(OR(A47="",B47="",C47=""),"",SUMIFS('04_SAKERNAS_AGG'!$K$2:$K$301,'04_SAKERNAS_AGG'!$E$2:$E$301,A47,'04_SAKERNAS_AGG'!$F$2:$F$301,B47,'04_SAKERNAS_AGG'!$H$2:$H$301,C47))</x:f>
      </x:c>
      <x:c r="G47" s="307" t="str">
        <x:f>IF(OR(E47="",F47=""),"",E47*F47)</x:f>
      </x:c>
      <x:c r="H47" s="307" t="str">
        <x:f>IF(OR(A47="",B47="",G47=""),"",SUMIFS($G$2:$G$301,$A$2:$A$301,A47,$B$2:$B$301,B47))</x:f>
      </x:c>
      <x:c r="I47" s="308" t="str">
        <x:f>IFERROR(G47/H47,"")</x:f>
      </x:c>
      <x:c r="J47" s="235"/>
      <x:c r="K47" s="235"/>
      <x:c r="L47" s="235"/>
      <x:c r="M47" s="235"/>
      <x:c r="N47" s="315" t="str">
        <x:f>IF(OR(I47="",K47=""),"",100*I47*K47)</x:f>
      </x:c>
      <x:c r="O47" s="308" t="str">
        <x:f>IF(OR(I47="",M47=""),"",I47*M47)</x:f>
      </x:c>
      <x:c r="P47" s="235"/>
      <x:c r="Q47" s="235"/>
      <x:c r="R47" s="235"/>
      <x:c r="S47" s="308" t="str">
        <x:f>IF(OR(A47="",B47=""),"",SUMIFS($I$2:$I$301,$A$2:$A$301,A47,$B$2:$B$301,B47))</x:f>
      </x:c>
      <x:c r="T47" s="233" t="str">
        <x:f>IF(B47="","",IF(ABS(S47-1)&gt;0.000001,"ERROR_SHARE",IF(OR(Q47&lt;&gt;"VERIFIED",R47&lt;&gt;"VERIFIED"),"CHECK_MAPPING","OK")))</x:f>
      </x:c>
      <x:c r="U47" s="297"/>
    </x:row>
    <x:row r="48">
      <x:c r="A48" s="293"/>
      <x:c r="B48" s="235"/>
      <x:c r="C48" s="294"/>
      <x:c r="D48" s="294"/>
      <x:c r="E48" s="314"/>
      <x:c r="F48" s="307" t="str">
        <x:f>IF(OR(A48="",B48="",C48=""),"",SUMIFS('04_SAKERNAS_AGG'!$K$2:$K$301,'04_SAKERNAS_AGG'!$E$2:$E$301,A48,'04_SAKERNAS_AGG'!$F$2:$F$301,B48,'04_SAKERNAS_AGG'!$H$2:$H$301,C48))</x:f>
      </x:c>
      <x:c r="G48" s="307" t="str">
        <x:f>IF(OR(E48="",F48=""),"",E48*F48)</x:f>
      </x:c>
      <x:c r="H48" s="307" t="str">
        <x:f>IF(OR(A48="",B48="",G48=""),"",SUMIFS($G$2:$G$301,$A$2:$A$301,A48,$B$2:$B$301,B48))</x:f>
      </x:c>
      <x:c r="I48" s="308" t="str">
        <x:f>IFERROR(G48/H48,"")</x:f>
      </x:c>
      <x:c r="J48" s="235"/>
      <x:c r="K48" s="235"/>
      <x:c r="L48" s="235"/>
      <x:c r="M48" s="235"/>
      <x:c r="N48" s="315" t="str">
        <x:f>IF(OR(I48="",K48=""),"",100*I48*K48)</x:f>
      </x:c>
      <x:c r="O48" s="308" t="str">
        <x:f>IF(OR(I48="",M48=""),"",I48*M48)</x:f>
      </x:c>
      <x:c r="P48" s="235"/>
      <x:c r="Q48" s="235"/>
      <x:c r="R48" s="235"/>
      <x:c r="S48" s="308" t="str">
        <x:f>IF(OR(A48="",B48=""),"",SUMIFS($I$2:$I$301,$A$2:$A$301,A48,$B$2:$B$301,B48))</x:f>
      </x:c>
      <x:c r="T48" s="233" t="str">
        <x:f>IF(B48="","",IF(ABS(S48-1)&gt;0.000001,"ERROR_SHARE",IF(OR(Q48&lt;&gt;"VERIFIED",R48&lt;&gt;"VERIFIED"),"CHECK_MAPPING","OK")))</x:f>
      </x:c>
      <x:c r="U48" s="297"/>
    </x:row>
    <x:row r="49">
      <x:c r="A49" s="293"/>
      <x:c r="B49" s="235"/>
      <x:c r="C49" s="294"/>
      <x:c r="D49" s="294"/>
      <x:c r="E49" s="314"/>
      <x:c r="F49" s="307" t="str">
        <x:f>IF(OR(A49="",B49="",C49=""),"",SUMIFS('04_SAKERNAS_AGG'!$K$2:$K$301,'04_SAKERNAS_AGG'!$E$2:$E$301,A49,'04_SAKERNAS_AGG'!$F$2:$F$301,B49,'04_SAKERNAS_AGG'!$H$2:$H$301,C49))</x:f>
      </x:c>
      <x:c r="G49" s="307" t="str">
        <x:f>IF(OR(E49="",F49=""),"",E49*F49)</x:f>
      </x:c>
      <x:c r="H49" s="307" t="str">
        <x:f>IF(OR(A49="",B49="",G49=""),"",SUMIFS($G$2:$G$301,$A$2:$A$301,A49,$B$2:$B$301,B49))</x:f>
      </x:c>
      <x:c r="I49" s="308" t="str">
        <x:f>IFERROR(G49/H49,"")</x:f>
      </x:c>
      <x:c r="J49" s="235"/>
      <x:c r="K49" s="235"/>
      <x:c r="L49" s="235"/>
      <x:c r="M49" s="235"/>
      <x:c r="N49" s="315" t="str">
        <x:f>IF(OR(I49="",K49=""),"",100*I49*K49)</x:f>
      </x:c>
      <x:c r="O49" s="308" t="str">
        <x:f>IF(OR(I49="",M49=""),"",I49*M49)</x:f>
      </x:c>
      <x:c r="P49" s="235"/>
      <x:c r="Q49" s="235"/>
      <x:c r="R49" s="235"/>
      <x:c r="S49" s="308" t="str">
        <x:f>IF(OR(A49="",B49=""),"",SUMIFS($I$2:$I$301,$A$2:$A$301,A49,$B$2:$B$301,B49))</x:f>
      </x:c>
      <x:c r="T49" s="233" t="str">
        <x:f>IF(B49="","",IF(ABS(S49-1)&gt;0.000001,"ERROR_SHARE",IF(OR(Q49&lt;&gt;"VERIFIED",R49&lt;&gt;"VERIFIED"),"CHECK_MAPPING","OK")))</x:f>
      </x:c>
      <x:c r="U49" s="297"/>
    </x:row>
    <x:row r="50">
      <x:c r="A50" s="293"/>
      <x:c r="B50" s="235"/>
      <x:c r="C50" s="294"/>
      <x:c r="D50" s="294"/>
      <x:c r="E50" s="314"/>
      <x:c r="F50" s="307" t="str">
        <x:f>IF(OR(A50="",B50="",C50=""),"",SUMIFS('04_SAKERNAS_AGG'!$K$2:$K$301,'04_SAKERNAS_AGG'!$E$2:$E$301,A50,'04_SAKERNAS_AGG'!$F$2:$F$301,B50,'04_SAKERNAS_AGG'!$H$2:$H$301,C50))</x:f>
      </x:c>
      <x:c r="G50" s="307" t="str">
        <x:f>IF(OR(E50="",F50=""),"",E50*F50)</x:f>
      </x:c>
      <x:c r="H50" s="307" t="str">
        <x:f>IF(OR(A50="",B50="",G50=""),"",SUMIFS($G$2:$G$301,$A$2:$A$301,A50,$B$2:$B$301,B50))</x:f>
      </x:c>
      <x:c r="I50" s="308" t="str">
        <x:f>IFERROR(G50/H50,"")</x:f>
      </x:c>
      <x:c r="J50" s="235"/>
      <x:c r="K50" s="235"/>
      <x:c r="L50" s="235"/>
      <x:c r="M50" s="235"/>
      <x:c r="N50" s="315" t="str">
        <x:f>IF(OR(I50="",K50=""),"",100*I50*K50)</x:f>
      </x:c>
      <x:c r="O50" s="308" t="str">
        <x:f>IF(OR(I50="",M50=""),"",I50*M50)</x:f>
      </x:c>
      <x:c r="P50" s="235"/>
      <x:c r="Q50" s="235"/>
      <x:c r="R50" s="235"/>
      <x:c r="S50" s="308" t="str">
        <x:f>IF(OR(A50="",B50=""),"",SUMIFS($I$2:$I$301,$A$2:$A$301,A50,$B$2:$B$301,B50))</x:f>
      </x:c>
      <x:c r="T50" s="233" t="str">
        <x:f>IF(B50="","",IF(ABS(S50-1)&gt;0.000001,"ERROR_SHARE",IF(OR(Q50&lt;&gt;"VERIFIED",R50&lt;&gt;"VERIFIED"),"CHECK_MAPPING","OK")))</x:f>
      </x:c>
      <x:c r="U50" s="297"/>
    </x:row>
    <x:row r="51">
      <x:c r="A51" s="293"/>
      <x:c r="B51" s="235"/>
      <x:c r="C51" s="294"/>
      <x:c r="D51" s="294"/>
      <x:c r="E51" s="314"/>
      <x:c r="F51" s="307" t="str">
        <x:f>IF(OR(A51="",B51="",C51=""),"",SUMIFS('04_SAKERNAS_AGG'!$K$2:$K$301,'04_SAKERNAS_AGG'!$E$2:$E$301,A51,'04_SAKERNAS_AGG'!$F$2:$F$301,B51,'04_SAKERNAS_AGG'!$H$2:$H$301,C51))</x:f>
      </x:c>
      <x:c r="G51" s="307" t="str">
        <x:f>IF(OR(E51="",F51=""),"",E51*F51)</x:f>
      </x:c>
      <x:c r="H51" s="307" t="str">
        <x:f>IF(OR(A51="",B51="",G51=""),"",SUMIFS($G$2:$G$301,$A$2:$A$301,A51,$B$2:$B$301,B51))</x:f>
      </x:c>
      <x:c r="I51" s="308" t="str">
        <x:f>IFERROR(G51/H51,"")</x:f>
      </x:c>
      <x:c r="J51" s="235"/>
      <x:c r="K51" s="235"/>
      <x:c r="L51" s="235"/>
      <x:c r="M51" s="235"/>
      <x:c r="N51" s="315" t="str">
        <x:f>IF(OR(I51="",K51=""),"",100*I51*K51)</x:f>
      </x:c>
      <x:c r="O51" s="308" t="str">
        <x:f>IF(OR(I51="",M51=""),"",I51*M51)</x:f>
      </x:c>
      <x:c r="P51" s="235"/>
      <x:c r="Q51" s="235"/>
      <x:c r="R51" s="235"/>
      <x:c r="S51" s="308" t="str">
        <x:f>IF(OR(A51="",B51=""),"",SUMIFS($I$2:$I$301,$A$2:$A$301,A51,$B$2:$B$301,B51))</x:f>
      </x:c>
      <x:c r="T51" s="233" t="str">
        <x:f>IF(B51="","",IF(ABS(S51-1)&gt;0.000001,"ERROR_SHARE",IF(OR(Q51&lt;&gt;"VERIFIED",R51&lt;&gt;"VERIFIED"),"CHECK_MAPPING","OK")))</x:f>
      </x:c>
      <x:c r="U51" s="297"/>
    </x:row>
    <x:row r="52">
      <x:c r="A52" s="293"/>
      <x:c r="B52" s="235"/>
      <x:c r="C52" s="294"/>
      <x:c r="D52" s="294"/>
      <x:c r="E52" s="314"/>
      <x:c r="F52" s="307" t="str">
        <x:f>IF(OR(A52="",B52="",C52=""),"",SUMIFS('04_SAKERNAS_AGG'!$K$2:$K$301,'04_SAKERNAS_AGG'!$E$2:$E$301,A52,'04_SAKERNAS_AGG'!$F$2:$F$301,B52,'04_SAKERNAS_AGG'!$H$2:$H$301,C52))</x:f>
      </x:c>
      <x:c r="G52" s="307" t="str">
        <x:f>IF(OR(E52="",F52=""),"",E52*F52)</x:f>
      </x:c>
      <x:c r="H52" s="307" t="str">
        <x:f>IF(OR(A52="",B52="",G52=""),"",SUMIFS($G$2:$G$301,$A$2:$A$301,A52,$B$2:$B$301,B52))</x:f>
      </x:c>
      <x:c r="I52" s="308" t="str">
        <x:f>IFERROR(G52/H52,"")</x:f>
      </x:c>
      <x:c r="J52" s="235"/>
      <x:c r="K52" s="235"/>
      <x:c r="L52" s="235"/>
      <x:c r="M52" s="235"/>
      <x:c r="N52" s="315" t="str">
        <x:f>IF(OR(I52="",K52=""),"",100*I52*K52)</x:f>
      </x:c>
      <x:c r="O52" s="308" t="str">
        <x:f>IF(OR(I52="",M52=""),"",I52*M52)</x:f>
      </x:c>
      <x:c r="P52" s="235"/>
      <x:c r="Q52" s="235"/>
      <x:c r="R52" s="235"/>
      <x:c r="S52" s="308" t="str">
        <x:f>IF(OR(A52="",B52=""),"",SUMIFS($I$2:$I$301,$A$2:$A$301,A52,$B$2:$B$301,B52))</x:f>
      </x:c>
      <x:c r="T52" s="233" t="str">
        <x:f>IF(B52="","",IF(ABS(S52-1)&gt;0.000001,"ERROR_SHARE",IF(OR(Q52&lt;&gt;"VERIFIED",R52&lt;&gt;"VERIFIED"),"CHECK_MAPPING","OK")))</x:f>
      </x:c>
      <x:c r="U52" s="297"/>
    </x:row>
    <x:row r="53">
      <x:c r="A53" s="293"/>
      <x:c r="B53" s="235"/>
      <x:c r="C53" s="294"/>
      <x:c r="D53" s="294"/>
      <x:c r="E53" s="314"/>
      <x:c r="F53" s="307" t="str">
        <x:f>IF(OR(A53="",B53="",C53=""),"",SUMIFS('04_SAKERNAS_AGG'!$K$2:$K$301,'04_SAKERNAS_AGG'!$E$2:$E$301,A53,'04_SAKERNAS_AGG'!$F$2:$F$301,B53,'04_SAKERNAS_AGG'!$H$2:$H$301,C53))</x:f>
      </x:c>
      <x:c r="G53" s="307" t="str">
        <x:f>IF(OR(E53="",F53=""),"",E53*F53)</x:f>
      </x:c>
      <x:c r="H53" s="307" t="str">
        <x:f>IF(OR(A53="",B53="",G53=""),"",SUMIFS($G$2:$G$301,$A$2:$A$301,A53,$B$2:$B$301,B53))</x:f>
      </x:c>
      <x:c r="I53" s="308" t="str">
        <x:f>IFERROR(G53/H53,"")</x:f>
      </x:c>
      <x:c r="J53" s="235"/>
      <x:c r="K53" s="235"/>
      <x:c r="L53" s="235"/>
      <x:c r="M53" s="235"/>
      <x:c r="N53" s="315" t="str">
        <x:f>IF(OR(I53="",K53=""),"",100*I53*K53)</x:f>
      </x:c>
      <x:c r="O53" s="308" t="str">
        <x:f>IF(OR(I53="",M53=""),"",I53*M53)</x:f>
      </x:c>
      <x:c r="P53" s="235"/>
      <x:c r="Q53" s="235"/>
      <x:c r="R53" s="235"/>
      <x:c r="S53" s="308" t="str">
        <x:f>IF(OR(A53="",B53=""),"",SUMIFS($I$2:$I$301,$A$2:$A$301,A53,$B$2:$B$301,B53))</x:f>
      </x:c>
      <x:c r="T53" s="233" t="str">
        <x:f>IF(B53="","",IF(ABS(S53-1)&gt;0.000001,"ERROR_SHARE",IF(OR(Q53&lt;&gt;"VERIFIED",R53&lt;&gt;"VERIFIED"),"CHECK_MAPPING","OK")))</x:f>
      </x:c>
      <x:c r="U53" s="297"/>
    </x:row>
    <x:row r="54">
      <x:c r="A54" s="293"/>
      <x:c r="B54" s="235"/>
      <x:c r="C54" s="294"/>
      <x:c r="D54" s="294"/>
      <x:c r="E54" s="314"/>
      <x:c r="F54" s="307" t="str">
        <x:f>IF(OR(A54="",B54="",C54=""),"",SUMIFS('04_SAKERNAS_AGG'!$K$2:$K$301,'04_SAKERNAS_AGG'!$E$2:$E$301,A54,'04_SAKERNAS_AGG'!$F$2:$F$301,B54,'04_SAKERNAS_AGG'!$H$2:$H$301,C54))</x:f>
      </x:c>
      <x:c r="G54" s="307" t="str">
        <x:f>IF(OR(E54="",F54=""),"",E54*F54)</x:f>
      </x:c>
      <x:c r="H54" s="307" t="str">
        <x:f>IF(OR(A54="",B54="",G54=""),"",SUMIFS($G$2:$G$301,$A$2:$A$301,A54,$B$2:$B$301,B54))</x:f>
      </x:c>
      <x:c r="I54" s="308" t="str">
        <x:f>IFERROR(G54/H54,"")</x:f>
      </x:c>
      <x:c r="J54" s="235"/>
      <x:c r="K54" s="235"/>
      <x:c r="L54" s="235"/>
      <x:c r="M54" s="235"/>
      <x:c r="N54" s="315" t="str">
        <x:f>IF(OR(I54="",K54=""),"",100*I54*K54)</x:f>
      </x:c>
      <x:c r="O54" s="308" t="str">
        <x:f>IF(OR(I54="",M54=""),"",I54*M54)</x:f>
      </x:c>
      <x:c r="P54" s="235"/>
      <x:c r="Q54" s="235"/>
      <x:c r="R54" s="235"/>
      <x:c r="S54" s="308" t="str">
        <x:f>IF(OR(A54="",B54=""),"",SUMIFS($I$2:$I$301,$A$2:$A$301,A54,$B$2:$B$301,B54))</x:f>
      </x:c>
      <x:c r="T54" s="233" t="str">
        <x:f>IF(B54="","",IF(ABS(S54-1)&gt;0.000001,"ERROR_SHARE",IF(OR(Q54&lt;&gt;"VERIFIED",R54&lt;&gt;"VERIFIED"),"CHECK_MAPPING","OK")))</x:f>
      </x:c>
      <x:c r="U54" s="297"/>
    </x:row>
    <x:row r="55">
      <x:c r="A55" s="293"/>
      <x:c r="B55" s="235"/>
      <x:c r="C55" s="294"/>
      <x:c r="D55" s="294"/>
      <x:c r="E55" s="314"/>
      <x:c r="F55" s="307" t="str">
        <x:f>IF(OR(A55="",B55="",C55=""),"",SUMIFS('04_SAKERNAS_AGG'!$K$2:$K$301,'04_SAKERNAS_AGG'!$E$2:$E$301,A55,'04_SAKERNAS_AGG'!$F$2:$F$301,B55,'04_SAKERNAS_AGG'!$H$2:$H$301,C55))</x:f>
      </x:c>
      <x:c r="G55" s="307" t="str">
        <x:f>IF(OR(E55="",F55=""),"",E55*F55)</x:f>
      </x:c>
      <x:c r="H55" s="307" t="str">
        <x:f>IF(OR(A55="",B55="",G55=""),"",SUMIFS($G$2:$G$301,$A$2:$A$301,A55,$B$2:$B$301,B55))</x:f>
      </x:c>
      <x:c r="I55" s="308" t="str">
        <x:f>IFERROR(G55/H55,"")</x:f>
      </x:c>
      <x:c r="J55" s="235"/>
      <x:c r="K55" s="235"/>
      <x:c r="L55" s="235"/>
      <x:c r="M55" s="235"/>
      <x:c r="N55" s="315" t="str">
        <x:f>IF(OR(I55="",K55=""),"",100*I55*K55)</x:f>
      </x:c>
      <x:c r="O55" s="308" t="str">
        <x:f>IF(OR(I55="",M55=""),"",I55*M55)</x:f>
      </x:c>
      <x:c r="P55" s="235"/>
      <x:c r="Q55" s="235"/>
      <x:c r="R55" s="235"/>
      <x:c r="S55" s="308" t="str">
        <x:f>IF(OR(A55="",B55=""),"",SUMIFS($I$2:$I$301,$A$2:$A$301,A55,$B$2:$B$301,B55))</x:f>
      </x:c>
      <x:c r="T55" s="233" t="str">
        <x:f>IF(B55="","",IF(ABS(S55-1)&gt;0.000001,"ERROR_SHARE",IF(OR(Q55&lt;&gt;"VERIFIED",R55&lt;&gt;"VERIFIED"),"CHECK_MAPPING","OK")))</x:f>
      </x:c>
      <x:c r="U55" s="297"/>
    </x:row>
    <x:row r="56">
      <x:c r="A56" s="293"/>
      <x:c r="B56" s="235"/>
      <x:c r="C56" s="294"/>
      <x:c r="D56" s="294"/>
      <x:c r="E56" s="314"/>
      <x:c r="F56" s="307" t="str">
        <x:f>IF(OR(A56="",B56="",C56=""),"",SUMIFS('04_SAKERNAS_AGG'!$K$2:$K$301,'04_SAKERNAS_AGG'!$E$2:$E$301,A56,'04_SAKERNAS_AGG'!$F$2:$F$301,B56,'04_SAKERNAS_AGG'!$H$2:$H$301,C56))</x:f>
      </x:c>
      <x:c r="G56" s="307" t="str">
        <x:f>IF(OR(E56="",F56=""),"",E56*F56)</x:f>
      </x:c>
      <x:c r="H56" s="307" t="str">
        <x:f>IF(OR(A56="",B56="",G56=""),"",SUMIFS($G$2:$G$301,$A$2:$A$301,A56,$B$2:$B$301,B56))</x:f>
      </x:c>
      <x:c r="I56" s="308" t="str">
        <x:f>IFERROR(G56/H56,"")</x:f>
      </x:c>
      <x:c r="J56" s="235"/>
      <x:c r="K56" s="235"/>
      <x:c r="L56" s="235"/>
      <x:c r="M56" s="235"/>
      <x:c r="N56" s="315" t="str">
        <x:f>IF(OR(I56="",K56=""),"",100*I56*K56)</x:f>
      </x:c>
      <x:c r="O56" s="308" t="str">
        <x:f>IF(OR(I56="",M56=""),"",I56*M56)</x:f>
      </x:c>
      <x:c r="P56" s="235"/>
      <x:c r="Q56" s="235"/>
      <x:c r="R56" s="235"/>
      <x:c r="S56" s="308" t="str">
        <x:f>IF(OR(A56="",B56=""),"",SUMIFS($I$2:$I$301,$A$2:$A$301,A56,$B$2:$B$301,B56))</x:f>
      </x:c>
      <x:c r="T56" s="233" t="str">
        <x:f>IF(B56="","",IF(ABS(S56-1)&gt;0.000001,"ERROR_SHARE",IF(OR(Q56&lt;&gt;"VERIFIED",R56&lt;&gt;"VERIFIED"),"CHECK_MAPPING","OK")))</x:f>
      </x:c>
      <x:c r="U56" s="297"/>
    </x:row>
    <x:row r="57">
      <x:c r="A57" s="293"/>
      <x:c r="B57" s="235"/>
      <x:c r="C57" s="294"/>
      <x:c r="D57" s="294"/>
      <x:c r="E57" s="314"/>
      <x:c r="F57" s="307" t="str">
        <x:f>IF(OR(A57="",B57="",C57=""),"",SUMIFS('04_SAKERNAS_AGG'!$K$2:$K$301,'04_SAKERNAS_AGG'!$E$2:$E$301,A57,'04_SAKERNAS_AGG'!$F$2:$F$301,B57,'04_SAKERNAS_AGG'!$H$2:$H$301,C57))</x:f>
      </x:c>
      <x:c r="G57" s="307" t="str">
        <x:f>IF(OR(E57="",F57=""),"",E57*F57)</x:f>
      </x:c>
      <x:c r="H57" s="307" t="str">
        <x:f>IF(OR(A57="",B57="",G57=""),"",SUMIFS($G$2:$G$301,$A$2:$A$301,A57,$B$2:$B$301,B57))</x:f>
      </x:c>
      <x:c r="I57" s="308" t="str">
        <x:f>IFERROR(G57/H57,"")</x:f>
      </x:c>
      <x:c r="J57" s="235"/>
      <x:c r="K57" s="235"/>
      <x:c r="L57" s="235"/>
      <x:c r="M57" s="235"/>
      <x:c r="N57" s="315" t="str">
        <x:f>IF(OR(I57="",K57=""),"",100*I57*K57)</x:f>
      </x:c>
      <x:c r="O57" s="308" t="str">
        <x:f>IF(OR(I57="",M57=""),"",I57*M57)</x:f>
      </x:c>
      <x:c r="P57" s="235"/>
      <x:c r="Q57" s="235"/>
      <x:c r="R57" s="235"/>
      <x:c r="S57" s="308" t="str">
        <x:f>IF(OR(A57="",B57=""),"",SUMIFS($I$2:$I$301,$A$2:$A$301,A57,$B$2:$B$301,B57))</x:f>
      </x:c>
      <x:c r="T57" s="233" t="str">
        <x:f>IF(B57="","",IF(ABS(S57-1)&gt;0.000001,"ERROR_SHARE",IF(OR(Q57&lt;&gt;"VERIFIED",R57&lt;&gt;"VERIFIED"),"CHECK_MAPPING","OK")))</x:f>
      </x:c>
      <x:c r="U57" s="297"/>
    </x:row>
    <x:row r="58">
      <x:c r="A58" s="293"/>
      <x:c r="B58" s="235"/>
      <x:c r="C58" s="294"/>
      <x:c r="D58" s="294"/>
      <x:c r="E58" s="314"/>
      <x:c r="F58" s="307" t="str">
        <x:f>IF(OR(A58="",B58="",C58=""),"",SUMIFS('04_SAKERNAS_AGG'!$K$2:$K$301,'04_SAKERNAS_AGG'!$E$2:$E$301,A58,'04_SAKERNAS_AGG'!$F$2:$F$301,B58,'04_SAKERNAS_AGG'!$H$2:$H$301,C58))</x:f>
      </x:c>
      <x:c r="G58" s="307" t="str">
        <x:f>IF(OR(E58="",F58=""),"",E58*F58)</x:f>
      </x:c>
      <x:c r="H58" s="307" t="str">
        <x:f>IF(OR(A58="",B58="",G58=""),"",SUMIFS($G$2:$G$301,$A$2:$A$301,A58,$B$2:$B$301,B58))</x:f>
      </x:c>
      <x:c r="I58" s="308" t="str">
        <x:f>IFERROR(G58/H58,"")</x:f>
      </x:c>
      <x:c r="J58" s="235"/>
      <x:c r="K58" s="235"/>
      <x:c r="L58" s="235"/>
      <x:c r="M58" s="235"/>
      <x:c r="N58" s="315" t="str">
        <x:f>IF(OR(I58="",K58=""),"",100*I58*K58)</x:f>
      </x:c>
      <x:c r="O58" s="308" t="str">
        <x:f>IF(OR(I58="",M58=""),"",I58*M58)</x:f>
      </x:c>
      <x:c r="P58" s="235"/>
      <x:c r="Q58" s="235"/>
      <x:c r="R58" s="235"/>
      <x:c r="S58" s="308" t="str">
        <x:f>IF(OR(A58="",B58=""),"",SUMIFS($I$2:$I$301,$A$2:$A$301,A58,$B$2:$B$301,B58))</x:f>
      </x:c>
      <x:c r="T58" s="233" t="str">
        <x:f>IF(B58="","",IF(ABS(S58-1)&gt;0.000001,"ERROR_SHARE",IF(OR(Q58&lt;&gt;"VERIFIED",R58&lt;&gt;"VERIFIED"),"CHECK_MAPPING","OK")))</x:f>
      </x:c>
      <x:c r="U58" s="297"/>
    </x:row>
    <x:row r="59">
      <x:c r="A59" s="293"/>
      <x:c r="B59" s="235"/>
      <x:c r="C59" s="294"/>
      <x:c r="D59" s="294"/>
      <x:c r="E59" s="314"/>
      <x:c r="F59" s="307" t="str">
        <x:f>IF(OR(A59="",B59="",C59=""),"",SUMIFS('04_SAKERNAS_AGG'!$K$2:$K$301,'04_SAKERNAS_AGG'!$E$2:$E$301,A59,'04_SAKERNAS_AGG'!$F$2:$F$301,B59,'04_SAKERNAS_AGG'!$H$2:$H$301,C59))</x:f>
      </x:c>
      <x:c r="G59" s="307" t="str">
        <x:f>IF(OR(E59="",F59=""),"",E59*F59)</x:f>
      </x:c>
      <x:c r="H59" s="307" t="str">
        <x:f>IF(OR(A59="",B59="",G59=""),"",SUMIFS($G$2:$G$301,$A$2:$A$301,A59,$B$2:$B$301,B59))</x:f>
      </x:c>
      <x:c r="I59" s="308" t="str">
        <x:f>IFERROR(G59/H59,"")</x:f>
      </x:c>
      <x:c r="J59" s="235"/>
      <x:c r="K59" s="235"/>
      <x:c r="L59" s="235"/>
      <x:c r="M59" s="235"/>
      <x:c r="N59" s="315" t="str">
        <x:f>IF(OR(I59="",K59=""),"",100*I59*K59)</x:f>
      </x:c>
      <x:c r="O59" s="308" t="str">
        <x:f>IF(OR(I59="",M59=""),"",I59*M59)</x:f>
      </x:c>
      <x:c r="P59" s="235"/>
      <x:c r="Q59" s="235"/>
      <x:c r="R59" s="235"/>
      <x:c r="S59" s="308" t="str">
        <x:f>IF(OR(A59="",B59=""),"",SUMIFS($I$2:$I$301,$A$2:$A$301,A59,$B$2:$B$301,B59))</x:f>
      </x:c>
      <x:c r="T59" s="233" t="str">
        <x:f>IF(B59="","",IF(ABS(S59-1)&gt;0.000001,"ERROR_SHARE",IF(OR(Q59&lt;&gt;"VERIFIED",R59&lt;&gt;"VERIFIED"),"CHECK_MAPPING","OK")))</x:f>
      </x:c>
      <x:c r="U59" s="297"/>
    </x:row>
    <x:row r="60">
      <x:c r="A60" s="293"/>
      <x:c r="B60" s="235"/>
      <x:c r="C60" s="294"/>
      <x:c r="D60" s="294"/>
      <x:c r="E60" s="314"/>
      <x:c r="F60" s="307" t="str">
        <x:f>IF(OR(A60="",B60="",C60=""),"",SUMIFS('04_SAKERNAS_AGG'!$K$2:$K$301,'04_SAKERNAS_AGG'!$E$2:$E$301,A60,'04_SAKERNAS_AGG'!$F$2:$F$301,B60,'04_SAKERNAS_AGG'!$H$2:$H$301,C60))</x:f>
      </x:c>
      <x:c r="G60" s="307" t="str">
        <x:f>IF(OR(E60="",F60=""),"",E60*F60)</x:f>
      </x:c>
      <x:c r="H60" s="307" t="str">
        <x:f>IF(OR(A60="",B60="",G60=""),"",SUMIFS($G$2:$G$301,$A$2:$A$301,A60,$B$2:$B$301,B60))</x:f>
      </x:c>
      <x:c r="I60" s="308" t="str">
        <x:f>IFERROR(G60/H60,"")</x:f>
      </x:c>
      <x:c r="J60" s="235"/>
      <x:c r="K60" s="235"/>
      <x:c r="L60" s="235"/>
      <x:c r="M60" s="235"/>
      <x:c r="N60" s="315" t="str">
        <x:f>IF(OR(I60="",K60=""),"",100*I60*K60)</x:f>
      </x:c>
      <x:c r="O60" s="308" t="str">
        <x:f>IF(OR(I60="",M60=""),"",I60*M60)</x:f>
      </x:c>
      <x:c r="P60" s="235"/>
      <x:c r="Q60" s="235"/>
      <x:c r="R60" s="235"/>
      <x:c r="S60" s="308" t="str">
        <x:f>IF(OR(A60="",B60=""),"",SUMIFS($I$2:$I$301,$A$2:$A$301,A60,$B$2:$B$301,B60))</x:f>
      </x:c>
      <x:c r="T60" s="233" t="str">
        <x:f>IF(B60="","",IF(ABS(S60-1)&gt;0.000001,"ERROR_SHARE",IF(OR(Q60&lt;&gt;"VERIFIED",R60&lt;&gt;"VERIFIED"),"CHECK_MAPPING","OK")))</x:f>
      </x:c>
      <x:c r="U60" s="297"/>
    </x:row>
    <x:row r="61">
      <x:c r="A61" s="293"/>
      <x:c r="B61" s="235"/>
      <x:c r="C61" s="294"/>
      <x:c r="D61" s="294"/>
      <x:c r="E61" s="314"/>
      <x:c r="F61" s="307" t="str">
        <x:f>IF(OR(A61="",B61="",C61=""),"",SUMIFS('04_SAKERNAS_AGG'!$K$2:$K$301,'04_SAKERNAS_AGG'!$E$2:$E$301,A61,'04_SAKERNAS_AGG'!$F$2:$F$301,B61,'04_SAKERNAS_AGG'!$H$2:$H$301,C61))</x:f>
      </x:c>
      <x:c r="G61" s="307" t="str">
        <x:f>IF(OR(E61="",F61=""),"",E61*F61)</x:f>
      </x:c>
      <x:c r="H61" s="307" t="str">
        <x:f>IF(OR(A61="",B61="",G61=""),"",SUMIFS($G$2:$G$301,$A$2:$A$301,A61,$B$2:$B$301,B61))</x:f>
      </x:c>
      <x:c r="I61" s="308" t="str">
        <x:f>IFERROR(G61/H61,"")</x:f>
      </x:c>
      <x:c r="J61" s="235"/>
      <x:c r="K61" s="235"/>
      <x:c r="L61" s="235"/>
      <x:c r="M61" s="235"/>
      <x:c r="N61" s="315" t="str">
        <x:f>IF(OR(I61="",K61=""),"",100*I61*K61)</x:f>
      </x:c>
      <x:c r="O61" s="308" t="str">
        <x:f>IF(OR(I61="",M61=""),"",I61*M61)</x:f>
      </x:c>
      <x:c r="P61" s="235"/>
      <x:c r="Q61" s="235"/>
      <x:c r="R61" s="235"/>
      <x:c r="S61" s="308" t="str">
        <x:f>IF(OR(A61="",B61=""),"",SUMIFS($I$2:$I$301,$A$2:$A$301,A61,$B$2:$B$301,B61))</x:f>
      </x:c>
      <x:c r="T61" s="233" t="str">
        <x:f>IF(B61="","",IF(ABS(S61-1)&gt;0.000001,"ERROR_SHARE",IF(OR(Q61&lt;&gt;"VERIFIED",R61&lt;&gt;"VERIFIED"),"CHECK_MAPPING","OK")))</x:f>
      </x:c>
      <x:c r="U61" s="297"/>
    </x:row>
    <x:row r="62">
      <x:c r="A62" s="293"/>
      <x:c r="B62" s="235"/>
      <x:c r="C62" s="294"/>
      <x:c r="D62" s="294"/>
      <x:c r="E62" s="314"/>
      <x:c r="F62" s="307" t="str">
        <x:f>IF(OR(A62="",B62="",C62=""),"",SUMIFS('04_SAKERNAS_AGG'!$K$2:$K$301,'04_SAKERNAS_AGG'!$E$2:$E$301,A62,'04_SAKERNAS_AGG'!$F$2:$F$301,B62,'04_SAKERNAS_AGG'!$H$2:$H$301,C62))</x:f>
      </x:c>
      <x:c r="G62" s="307" t="str">
        <x:f>IF(OR(E62="",F62=""),"",E62*F62)</x:f>
      </x:c>
      <x:c r="H62" s="307" t="str">
        <x:f>IF(OR(A62="",B62="",G62=""),"",SUMIFS($G$2:$G$301,$A$2:$A$301,A62,$B$2:$B$301,B62))</x:f>
      </x:c>
      <x:c r="I62" s="308" t="str">
        <x:f>IFERROR(G62/H62,"")</x:f>
      </x:c>
      <x:c r="J62" s="235"/>
      <x:c r="K62" s="235"/>
      <x:c r="L62" s="235"/>
      <x:c r="M62" s="235"/>
      <x:c r="N62" s="315" t="str">
        <x:f>IF(OR(I62="",K62=""),"",100*I62*K62)</x:f>
      </x:c>
      <x:c r="O62" s="308" t="str">
        <x:f>IF(OR(I62="",M62=""),"",I62*M62)</x:f>
      </x:c>
      <x:c r="P62" s="235"/>
      <x:c r="Q62" s="235"/>
      <x:c r="R62" s="235"/>
      <x:c r="S62" s="308" t="str">
        <x:f>IF(OR(A62="",B62=""),"",SUMIFS($I$2:$I$301,$A$2:$A$301,A62,$B$2:$B$301,B62))</x:f>
      </x:c>
      <x:c r="T62" s="233" t="str">
        <x:f>IF(B62="","",IF(ABS(S62-1)&gt;0.000001,"ERROR_SHARE",IF(OR(Q62&lt;&gt;"VERIFIED",R62&lt;&gt;"VERIFIED"),"CHECK_MAPPING","OK")))</x:f>
      </x:c>
      <x:c r="U62" s="297"/>
    </x:row>
    <x:row r="63">
      <x:c r="A63" s="293"/>
      <x:c r="B63" s="235"/>
      <x:c r="C63" s="294"/>
      <x:c r="D63" s="294"/>
      <x:c r="E63" s="314"/>
      <x:c r="F63" s="307" t="str">
        <x:f>IF(OR(A63="",B63="",C63=""),"",SUMIFS('04_SAKERNAS_AGG'!$K$2:$K$301,'04_SAKERNAS_AGG'!$E$2:$E$301,A63,'04_SAKERNAS_AGG'!$F$2:$F$301,B63,'04_SAKERNAS_AGG'!$H$2:$H$301,C63))</x:f>
      </x:c>
      <x:c r="G63" s="307" t="str">
        <x:f>IF(OR(E63="",F63=""),"",E63*F63)</x:f>
      </x:c>
      <x:c r="H63" s="307" t="str">
        <x:f>IF(OR(A63="",B63="",G63=""),"",SUMIFS($G$2:$G$301,$A$2:$A$301,A63,$B$2:$B$301,B63))</x:f>
      </x:c>
      <x:c r="I63" s="308" t="str">
        <x:f>IFERROR(G63/H63,"")</x:f>
      </x:c>
      <x:c r="J63" s="235"/>
      <x:c r="K63" s="235"/>
      <x:c r="L63" s="235"/>
      <x:c r="M63" s="235"/>
      <x:c r="N63" s="315" t="str">
        <x:f>IF(OR(I63="",K63=""),"",100*I63*K63)</x:f>
      </x:c>
      <x:c r="O63" s="308" t="str">
        <x:f>IF(OR(I63="",M63=""),"",I63*M63)</x:f>
      </x:c>
      <x:c r="P63" s="235"/>
      <x:c r="Q63" s="235"/>
      <x:c r="R63" s="235"/>
      <x:c r="S63" s="308" t="str">
        <x:f>IF(OR(A63="",B63=""),"",SUMIFS($I$2:$I$301,$A$2:$A$301,A63,$B$2:$B$301,B63))</x:f>
      </x:c>
      <x:c r="T63" s="233" t="str">
        <x:f>IF(B63="","",IF(ABS(S63-1)&gt;0.000001,"ERROR_SHARE",IF(OR(Q63&lt;&gt;"VERIFIED",R63&lt;&gt;"VERIFIED"),"CHECK_MAPPING","OK")))</x:f>
      </x:c>
      <x:c r="U63" s="297"/>
    </x:row>
    <x:row r="64">
      <x:c r="A64" s="293"/>
      <x:c r="B64" s="235"/>
      <x:c r="C64" s="294"/>
      <x:c r="D64" s="294"/>
      <x:c r="E64" s="314"/>
      <x:c r="F64" s="307" t="str">
        <x:f>IF(OR(A64="",B64="",C64=""),"",SUMIFS('04_SAKERNAS_AGG'!$K$2:$K$301,'04_SAKERNAS_AGG'!$E$2:$E$301,A64,'04_SAKERNAS_AGG'!$F$2:$F$301,B64,'04_SAKERNAS_AGG'!$H$2:$H$301,C64))</x:f>
      </x:c>
      <x:c r="G64" s="307" t="str">
        <x:f>IF(OR(E64="",F64=""),"",E64*F64)</x:f>
      </x:c>
      <x:c r="H64" s="307" t="str">
        <x:f>IF(OR(A64="",B64="",G64=""),"",SUMIFS($G$2:$G$301,$A$2:$A$301,A64,$B$2:$B$301,B64))</x:f>
      </x:c>
      <x:c r="I64" s="308" t="str">
        <x:f>IFERROR(G64/H64,"")</x:f>
      </x:c>
      <x:c r="J64" s="235"/>
      <x:c r="K64" s="235"/>
      <x:c r="L64" s="235"/>
      <x:c r="M64" s="235"/>
      <x:c r="N64" s="315" t="str">
        <x:f>IF(OR(I64="",K64=""),"",100*I64*K64)</x:f>
      </x:c>
      <x:c r="O64" s="308" t="str">
        <x:f>IF(OR(I64="",M64=""),"",I64*M64)</x:f>
      </x:c>
      <x:c r="P64" s="235"/>
      <x:c r="Q64" s="235"/>
      <x:c r="R64" s="235"/>
      <x:c r="S64" s="308" t="str">
        <x:f>IF(OR(A64="",B64=""),"",SUMIFS($I$2:$I$301,$A$2:$A$301,A64,$B$2:$B$301,B64))</x:f>
      </x:c>
      <x:c r="T64" s="233" t="str">
        <x:f>IF(B64="","",IF(ABS(S64-1)&gt;0.000001,"ERROR_SHARE",IF(OR(Q64&lt;&gt;"VERIFIED",R64&lt;&gt;"VERIFIED"),"CHECK_MAPPING","OK")))</x:f>
      </x:c>
      <x:c r="U64" s="297"/>
    </x:row>
    <x:row r="65">
      <x:c r="A65" s="293"/>
      <x:c r="B65" s="235"/>
      <x:c r="C65" s="294"/>
      <x:c r="D65" s="294"/>
      <x:c r="E65" s="314"/>
      <x:c r="F65" s="307" t="str">
        <x:f>IF(OR(A65="",B65="",C65=""),"",SUMIFS('04_SAKERNAS_AGG'!$K$2:$K$301,'04_SAKERNAS_AGG'!$E$2:$E$301,A65,'04_SAKERNAS_AGG'!$F$2:$F$301,B65,'04_SAKERNAS_AGG'!$H$2:$H$301,C65))</x:f>
      </x:c>
      <x:c r="G65" s="307" t="str">
        <x:f>IF(OR(E65="",F65=""),"",E65*F65)</x:f>
      </x:c>
      <x:c r="H65" s="307" t="str">
        <x:f>IF(OR(A65="",B65="",G65=""),"",SUMIFS($G$2:$G$301,$A$2:$A$301,A65,$B$2:$B$301,B65))</x:f>
      </x:c>
      <x:c r="I65" s="308" t="str">
        <x:f>IFERROR(G65/H65,"")</x:f>
      </x:c>
      <x:c r="J65" s="235"/>
      <x:c r="K65" s="235"/>
      <x:c r="L65" s="235"/>
      <x:c r="M65" s="235"/>
      <x:c r="N65" s="315" t="str">
        <x:f>IF(OR(I65="",K65=""),"",100*I65*K65)</x:f>
      </x:c>
      <x:c r="O65" s="308" t="str">
        <x:f>IF(OR(I65="",M65=""),"",I65*M65)</x:f>
      </x:c>
      <x:c r="P65" s="235"/>
      <x:c r="Q65" s="235"/>
      <x:c r="R65" s="235"/>
      <x:c r="S65" s="308" t="str">
        <x:f>IF(OR(A65="",B65=""),"",SUMIFS($I$2:$I$301,$A$2:$A$301,A65,$B$2:$B$301,B65))</x:f>
      </x:c>
      <x:c r="T65" s="233" t="str">
        <x:f>IF(B65="","",IF(ABS(S65-1)&gt;0.000001,"ERROR_SHARE",IF(OR(Q65&lt;&gt;"VERIFIED",R65&lt;&gt;"VERIFIED"),"CHECK_MAPPING","OK")))</x:f>
      </x:c>
      <x:c r="U65" s="297"/>
    </x:row>
    <x:row r="66">
      <x:c r="A66" s="293"/>
      <x:c r="B66" s="235"/>
      <x:c r="C66" s="294"/>
      <x:c r="D66" s="294"/>
      <x:c r="E66" s="314"/>
      <x:c r="F66" s="307" t="str">
        <x:f>IF(OR(A66="",B66="",C66=""),"",SUMIFS('04_SAKERNAS_AGG'!$K$2:$K$301,'04_SAKERNAS_AGG'!$E$2:$E$301,A66,'04_SAKERNAS_AGG'!$F$2:$F$301,B66,'04_SAKERNAS_AGG'!$H$2:$H$301,C66))</x:f>
      </x:c>
      <x:c r="G66" s="307" t="str">
        <x:f>IF(OR(E66="",F66=""),"",E66*F66)</x:f>
      </x:c>
      <x:c r="H66" s="307" t="str">
        <x:f>IF(OR(A66="",B66="",G66=""),"",SUMIFS($G$2:$G$301,$A$2:$A$301,A66,$B$2:$B$301,B66))</x:f>
      </x:c>
      <x:c r="I66" s="308" t="str">
        <x:f>IFERROR(G66/H66,"")</x:f>
      </x:c>
      <x:c r="J66" s="235"/>
      <x:c r="K66" s="235"/>
      <x:c r="L66" s="235"/>
      <x:c r="M66" s="235"/>
      <x:c r="N66" s="315" t="str">
        <x:f>IF(OR(I66="",K66=""),"",100*I66*K66)</x:f>
      </x:c>
      <x:c r="O66" s="308" t="str">
        <x:f>IF(OR(I66="",M66=""),"",I66*M66)</x:f>
      </x:c>
      <x:c r="P66" s="235"/>
      <x:c r="Q66" s="235"/>
      <x:c r="R66" s="235"/>
      <x:c r="S66" s="308" t="str">
        <x:f>IF(OR(A66="",B66=""),"",SUMIFS($I$2:$I$301,$A$2:$A$301,A66,$B$2:$B$301,B66))</x:f>
      </x:c>
      <x:c r="T66" s="233" t="str">
        <x:f>IF(B66="","",IF(ABS(S66-1)&gt;0.000001,"ERROR_SHARE",IF(OR(Q66&lt;&gt;"VERIFIED",R66&lt;&gt;"VERIFIED"),"CHECK_MAPPING","OK")))</x:f>
      </x:c>
      <x:c r="U66" s="297"/>
    </x:row>
    <x:row r="67">
      <x:c r="A67" s="293"/>
      <x:c r="B67" s="235"/>
      <x:c r="C67" s="294"/>
      <x:c r="D67" s="294"/>
      <x:c r="E67" s="314"/>
      <x:c r="F67" s="307" t="str">
        <x:f>IF(OR(A67="",B67="",C67=""),"",SUMIFS('04_SAKERNAS_AGG'!$K$2:$K$301,'04_SAKERNAS_AGG'!$E$2:$E$301,A67,'04_SAKERNAS_AGG'!$F$2:$F$301,B67,'04_SAKERNAS_AGG'!$H$2:$H$301,C67))</x:f>
      </x:c>
      <x:c r="G67" s="307" t="str">
        <x:f>IF(OR(E67="",F67=""),"",E67*F67)</x:f>
      </x:c>
      <x:c r="H67" s="307" t="str">
        <x:f>IF(OR(A67="",B67="",G67=""),"",SUMIFS($G$2:$G$301,$A$2:$A$301,A67,$B$2:$B$301,B67))</x:f>
      </x:c>
      <x:c r="I67" s="308" t="str">
        <x:f>IFERROR(G67/H67,"")</x:f>
      </x:c>
      <x:c r="J67" s="235"/>
      <x:c r="K67" s="235"/>
      <x:c r="L67" s="235"/>
      <x:c r="M67" s="235"/>
      <x:c r="N67" s="315" t="str">
        <x:f>IF(OR(I67="",K67=""),"",100*I67*K67)</x:f>
      </x:c>
      <x:c r="O67" s="308" t="str">
        <x:f>IF(OR(I67="",M67=""),"",I67*M67)</x:f>
      </x:c>
      <x:c r="P67" s="235"/>
      <x:c r="Q67" s="235"/>
      <x:c r="R67" s="235"/>
      <x:c r="S67" s="308" t="str">
        <x:f>IF(OR(A67="",B67=""),"",SUMIFS($I$2:$I$301,$A$2:$A$301,A67,$B$2:$B$301,B67))</x:f>
      </x:c>
      <x:c r="T67" s="233" t="str">
        <x:f>IF(B67="","",IF(ABS(S67-1)&gt;0.000001,"ERROR_SHARE",IF(OR(Q67&lt;&gt;"VERIFIED",R67&lt;&gt;"VERIFIED"),"CHECK_MAPPING","OK")))</x:f>
      </x:c>
      <x:c r="U67" s="297"/>
    </x:row>
    <x:row r="68">
      <x:c r="A68" s="293"/>
      <x:c r="B68" s="235"/>
      <x:c r="C68" s="294"/>
      <x:c r="D68" s="294"/>
      <x:c r="E68" s="314"/>
      <x:c r="F68" s="307" t="str">
        <x:f>IF(OR(A68="",B68="",C68=""),"",SUMIFS('04_SAKERNAS_AGG'!$K$2:$K$301,'04_SAKERNAS_AGG'!$E$2:$E$301,A68,'04_SAKERNAS_AGG'!$F$2:$F$301,B68,'04_SAKERNAS_AGG'!$H$2:$H$301,C68))</x:f>
      </x:c>
      <x:c r="G68" s="307" t="str">
        <x:f>IF(OR(E68="",F68=""),"",E68*F68)</x:f>
      </x:c>
      <x:c r="H68" s="307" t="str">
        <x:f>IF(OR(A68="",B68="",G68=""),"",SUMIFS($G$2:$G$301,$A$2:$A$301,A68,$B$2:$B$301,B68))</x:f>
      </x:c>
      <x:c r="I68" s="308" t="str">
        <x:f>IFERROR(G68/H68,"")</x:f>
      </x:c>
      <x:c r="J68" s="235"/>
      <x:c r="K68" s="235"/>
      <x:c r="L68" s="235"/>
      <x:c r="M68" s="235"/>
      <x:c r="N68" s="315" t="str">
        <x:f>IF(OR(I68="",K68=""),"",100*I68*K68)</x:f>
      </x:c>
      <x:c r="O68" s="308" t="str">
        <x:f>IF(OR(I68="",M68=""),"",I68*M68)</x:f>
      </x:c>
      <x:c r="P68" s="235"/>
      <x:c r="Q68" s="235"/>
      <x:c r="R68" s="235"/>
      <x:c r="S68" s="308" t="str">
        <x:f>IF(OR(A68="",B68=""),"",SUMIFS($I$2:$I$301,$A$2:$A$301,A68,$B$2:$B$301,B68))</x:f>
      </x:c>
      <x:c r="T68" s="233" t="str">
        <x:f>IF(B68="","",IF(ABS(S68-1)&gt;0.000001,"ERROR_SHARE",IF(OR(Q68&lt;&gt;"VERIFIED",R68&lt;&gt;"VERIFIED"),"CHECK_MAPPING","OK")))</x:f>
      </x:c>
      <x:c r="U68" s="297"/>
    </x:row>
    <x:row r="69">
      <x:c r="A69" s="293"/>
      <x:c r="B69" s="235"/>
      <x:c r="C69" s="294"/>
      <x:c r="D69" s="294"/>
      <x:c r="E69" s="314"/>
      <x:c r="F69" s="307" t="str">
        <x:f>IF(OR(A69="",B69="",C69=""),"",SUMIFS('04_SAKERNAS_AGG'!$K$2:$K$301,'04_SAKERNAS_AGG'!$E$2:$E$301,A69,'04_SAKERNAS_AGG'!$F$2:$F$301,B69,'04_SAKERNAS_AGG'!$H$2:$H$301,C69))</x:f>
      </x:c>
      <x:c r="G69" s="307" t="str">
        <x:f>IF(OR(E69="",F69=""),"",E69*F69)</x:f>
      </x:c>
      <x:c r="H69" s="307" t="str">
        <x:f>IF(OR(A69="",B69="",G69=""),"",SUMIFS($G$2:$G$301,$A$2:$A$301,A69,$B$2:$B$301,B69))</x:f>
      </x:c>
      <x:c r="I69" s="308" t="str">
        <x:f>IFERROR(G69/H69,"")</x:f>
      </x:c>
      <x:c r="J69" s="235"/>
      <x:c r="K69" s="235"/>
      <x:c r="L69" s="235"/>
      <x:c r="M69" s="235"/>
      <x:c r="N69" s="315" t="str">
        <x:f>IF(OR(I69="",K69=""),"",100*I69*K69)</x:f>
      </x:c>
      <x:c r="O69" s="308" t="str">
        <x:f>IF(OR(I69="",M69=""),"",I69*M69)</x:f>
      </x:c>
      <x:c r="P69" s="235"/>
      <x:c r="Q69" s="235"/>
      <x:c r="R69" s="235"/>
      <x:c r="S69" s="308" t="str">
        <x:f>IF(OR(A69="",B69=""),"",SUMIFS($I$2:$I$301,$A$2:$A$301,A69,$B$2:$B$301,B69))</x:f>
      </x:c>
      <x:c r="T69" s="233" t="str">
        <x:f>IF(B69="","",IF(ABS(S69-1)&gt;0.000001,"ERROR_SHARE",IF(OR(Q69&lt;&gt;"VERIFIED",R69&lt;&gt;"VERIFIED"),"CHECK_MAPPING","OK")))</x:f>
      </x:c>
      <x:c r="U69" s="297"/>
    </x:row>
    <x:row r="70">
      <x:c r="A70" s="293"/>
      <x:c r="B70" s="235"/>
      <x:c r="C70" s="294"/>
      <x:c r="D70" s="294"/>
      <x:c r="E70" s="314"/>
      <x:c r="F70" s="307" t="str">
        <x:f>IF(OR(A70="",B70="",C70=""),"",SUMIFS('04_SAKERNAS_AGG'!$K$2:$K$301,'04_SAKERNAS_AGG'!$E$2:$E$301,A70,'04_SAKERNAS_AGG'!$F$2:$F$301,B70,'04_SAKERNAS_AGG'!$H$2:$H$301,C70))</x:f>
      </x:c>
      <x:c r="G70" s="307" t="str">
        <x:f>IF(OR(E70="",F70=""),"",E70*F70)</x:f>
      </x:c>
      <x:c r="H70" s="307" t="str">
        <x:f>IF(OR(A70="",B70="",G70=""),"",SUMIFS($G$2:$G$301,$A$2:$A$301,A70,$B$2:$B$301,B70))</x:f>
      </x:c>
      <x:c r="I70" s="308" t="str">
        <x:f>IFERROR(G70/H70,"")</x:f>
      </x:c>
      <x:c r="J70" s="235"/>
      <x:c r="K70" s="235"/>
      <x:c r="L70" s="235"/>
      <x:c r="M70" s="235"/>
      <x:c r="N70" s="315" t="str">
        <x:f>IF(OR(I70="",K70=""),"",100*I70*K70)</x:f>
      </x:c>
      <x:c r="O70" s="308" t="str">
        <x:f>IF(OR(I70="",M70=""),"",I70*M70)</x:f>
      </x:c>
      <x:c r="P70" s="235"/>
      <x:c r="Q70" s="235"/>
      <x:c r="R70" s="235"/>
      <x:c r="S70" s="308" t="str">
        <x:f>IF(OR(A70="",B70=""),"",SUMIFS($I$2:$I$301,$A$2:$A$301,A70,$B$2:$B$301,B70))</x:f>
      </x:c>
      <x:c r="T70" s="233" t="str">
        <x:f>IF(B70="","",IF(ABS(S70-1)&gt;0.000001,"ERROR_SHARE",IF(OR(Q70&lt;&gt;"VERIFIED",R70&lt;&gt;"VERIFIED"),"CHECK_MAPPING","OK")))</x:f>
      </x:c>
      <x:c r="U70" s="297"/>
    </x:row>
    <x:row r="71">
      <x:c r="A71" s="293"/>
      <x:c r="B71" s="235"/>
      <x:c r="C71" s="294"/>
      <x:c r="D71" s="294"/>
      <x:c r="E71" s="314"/>
      <x:c r="F71" s="307" t="str">
        <x:f>IF(OR(A71="",B71="",C71=""),"",SUMIFS('04_SAKERNAS_AGG'!$K$2:$K$301,'04_SAKERNAS_AGG'!$E$2:$E$301,A71,'04_SAKERNAS_AGG'!$F$2:$F$301,B71,'04_SAKERNAS_AGG'!$H$2:$H$301,C71))</x:f>
      </x:c>
      <x:c r="G71" s="307" t="str">
        <x:f>IF(OR(E71="",F71=""),"",E71*F71)</x:f>
      </x:c>
      <x:c r="H71" s="307" t="str">
        <x:f>IF(OR(A71="",B71="",G71=""),"",SUMIFS($G$2:$G$301,$A$2:$A$301,A71,$B$2:$B$301,B71))</x:f>
      </x:c>
      <x:c r="I71" s="308" t="str">
        <x:f>IFERROR(G71/H71,"")</x:f>
      </x:c>
      <x:c r="J71" s="235"/>
      <x:c r="K71" s="235"/>
      <x:c r="L71" s="235"/>
      <x:c r="M71" s="235"/>
      <x:c r="N71" s="315" t="str">
        <x:f>IF(OR(I71="",K71=""),"",100*I71*K71)</x:f>
      </x:c>
      <x:c r="O71" s="308" t="str">
        <x:f>IF(OR(I71="",M71=""),"",I71*M71)</x:f>
      </x:c>
      <x:c r="P71" s="235"/>
      <x:c r="Q71" s="235"/>
      <x:c r="R71" s="235"/>
      <x:c r="S71" s="308" t="str">
        <x:f>IF(OR(A71="",B71=""),"",SUMIFS($I$2:$I$301,$A$2:$A$301,A71,$B$2:$B$301,B71))</x:f>
      </x:c>
      <x:c r="T71" s="233" t="str">
        <x:f>IF(B71="","",IF(ABS(S71-1)&gt;0.000001,"ERROR_SHARE",IF(OR(Q71&lt;&gt;"VERIFIED",R71&lt;&gt;"VERIFIED"),"CHECK_MAPPING","OK")))</x:f>
      </x:c>
      <x:c r="U71" s="297"/>
    </x:row>
    <x:row r="72">
      <x:c r="A72" s="293"/>
      <x:c r="B72" s="235"/>
      <x:c r="C72" s="294"/>
      <x:c r="D72" s="294"/>
      <x:c r="E72" s="314"/>
      <x:c r="F72" s="307" t="str">
        <x:f>IF(OR(A72="",B72="",C72=""),"",SUMIFS('04_SAKERNAS_AGG'!$K$2:$K$301,'04_SAKERNAS_AGG'!$E$2:$E$301,A72,'04_SAKERNAS_AGG'!$F$2:$F$301,B72,'04_SAKERNAS_AGG'!$H$2:$H$301,C72))</x:f>
      </x:c>
      <x:c r="G72" s="307" t="str">
        <x:f>IF(OR(E72="",F72=""),"",E72*F72)</x:f>
      </x:c>
      <x:c r="H72" s="307" t="str">
        <x:f>IF(OR(A72="",B72="",G72=""),"",SUMIFS($G$2:$G$301,$A$2:$A$301,A72,$B$2:$B$301,B72))</x:f>
      </x:c>
      <x:c r="I72" s="308" t="str">
        <x:f>IFERROR(G72/H72,"")</x:f>
      </x:c>
      <x:c r="J72" s="235"/>
      <x:c r="K72" s="235"/>
      <x:c r="L72" s="235"/>
      <x:c r="M72" s="235"/>
      <x:c r="N72" s="315" t="str">
        <x:f>IF(OR(I72="",K72=""),"",100*I72*K72)</x:f>
      </x:c>
      <x:c r="O72" s="308" t="str">
        <x:f>IF(OR(I72="",M72=""),"",I72*M72)</x:f>
      </x:c>
      <x:c r="P72" s="235"/>
      <x:c r="Q72" s="235"/>
      <x:c r="R72" s="235"/>
      <x:c r="S72" s="308" t="str">
        <x:f>IF(OR(A72="",B72=""),"",SUMIFS($I$2:$I$301,$A$2:$A$301,A72,$B$2:$B$301,B72))</x:f>
      </x:c>
      <x:c r="T72" s="233" t="str">
        <x:f>IF(B72="","",IF(ABS(S72-1)&gt;0.000001,"ERROR_SHARE",IF(OR(Q72&lt;&gt;"VERIFIED",R72&lt;&gt;"VERIFIED"),"CHECK_MAPPING","OK")))</x:f>
      </x:c>
      <x:c r="U72" s="297"/>
    </x:row>
    <x:row r="73">
      <x:c r="A73" s="293"/>
      <x:c r="B73" s="235"/>
      <x:c r="C73" s="294"/>
      <x:c r="D73" s="294"/>
      <x:c r="E73" s="314"/>
      <x:c r="F73" s="307" t="str">
        <x:f>IF(OR(A73="",B73="",C73=""),"",SUMIFS('04_SAKERNAS_AGG'!$K$2:$K$301,'04_SAKERNAS_AGG'!$E$2:$E$301,A73,'04_SAKERNAS_AGG'!$F$2:$F$301,B73,'04_SAKERNAS_AGG'!$H$2:$H$301,C73))</x:f>
      </x:c>
      <x:c r="G73" s="307" t="str">
        <x:f>IF(OR(E73="",F73=""),"",E73*F73)</x:f>
      </x:c>
      <x:c r="H73" s="307" t="str">
        <x:f>IF(OR(A73="",B73="",G73=""),"",SUMIFS($G$2:$G$301,$A$2:$A$301,A73,$B$2:$B$301,B73))</x:f>
      </x:c>
      <x:c r="I73" s="308" t="str">
        <x:f>IFERROR(G73/H73,"")</x:f>
      </x:c>
      <x:c r="J73" s="235"/>
      <x:c r="K73" s="235"/>
      <x:c r="L73" s="235"/>
      <x:c r="M73" s="235"/>
      <x:c r="N73" s="315" t="str">
        <x:f>IF(OR(I73="",K73=""),"",100*I73*K73)</x:f>
      </x:c>
      <x:c r="O73" s="308" t="str">
        <x:f>IF(OR(I73="",M73=""),"",I73*M73)</x:f>
      </x:c>
      <x:c r="P73" s="235"/>
      <x:c r="Q73" s="235"/>
      <x:c r="R73" s="235"/>
      <x:c r="S73" s="308" t="str">
        <x:f>IF(OR(A73="",B73=""),"",SUMIFS($I$2:$I$301,$A$2:$A$301,A73,$B$2:$B$301,B73))</x:f>
      </x:c>
      <x:c r="T73" s="233" t="str">
        <x:f>IF(B73="","",IF(ABS(S73-1)&gt;0.000001,"ERROR_SHARE",IF(OR(Q73&lt;&gt;"VERIFIED",R73&lt;&gt;"VERIFIED"),"CHECK_MAPPING","OK")))</x:f>
      </x:c>
      <x:c r="U73" s="297"/>
    </x:row>
    <x:row r="74">
      <x:c r="A74" s="293"/>
      <x:c r="B74" s="235"/>
      <x:c r="C74" s="294"/>
      <x:c r="D74" s="294"/>
      <x:c r="E74" s="314"/>
      <x:c r="F74" s="307" t="str">
        <x:f>IF(OR(A74="",B74="",C74=""),"",SUMIFS('04_SAKERNAS_AGG'!$K$2:$K$301,'04_SAKERNAS_AGG'!$E$2:$E$301,A74,'04_SAKERNAS_AGG'!$F$2:$F$301,B74,'04_SAKERNAS_AGG'!$H$2:$H$301,C74))</x:f>
      </x:c>
      <x:c r="G74" s="307" t="str">
        <x:f>IF(OR(E74="",F74=""),"",E74*F74)</x:f>
      </x:c>
      <x:c r="H74" s="307" t="str">
        <x:f>IF(OR(A74="",B74="",G74=""),"",SUMIFS($G$2:$G$301,$A$2:$A$301,A74,$B$2:$B$301,B74))</x:f>
      </x:c>
      <x:c r="I74" s="308" t="str">
        <x:f>IFERROR(G74/H74,"")</x:f>
      </x:c>
      <x:c r="J74" s="235"/>
      <x:c r="K74" s="235"/>
      <x:c r="L74" s="235"/>
      <x:c r="M74" s="235"/>
      <x:c r="N74" s="315" t="str">
        <x:f>IF(OR(I74="",K74=""),"",100*I74*K74)</x:f>
      </x:c>
      <x:c r="O74" s="308" t="str">
        <x:f>IF(OR(I74="",M74=""),"",I74*M74)</x:f>
      </x:c>
      <x:c r="P74" s="235"/>
      <x:c r="Q74" s="235"/>
      <x:c r="R74" s="235"/>
      <x:c r="S74" s="308" t="str">
        <x:f>IF(OR(A74="",B74=""),"",SUMIFS($I$2:$I$301,$A$2:$A$301,A74,$B$2:$B$301,B74))</x:f>
      </x:c>
      <x:c r="T74" s="233" t="str">
        <x:f>IF(B74="","",IF(ABS(S74-1)&gt;0.000001,"ERROR_SHARE",IF(OR(Q74&lt;&gt;"VERIFIED",R74&lt;&gt;"VERIFIED"),"CHECK_MAPPING","OK")))</x:f>
      </x:c>
      <x:c r="U74" s="297"/>
    </x:row>
    <x:row r="75">
      <x:c r="A75" s="293"/>
      <x:c r="B75" s="235"/>
      <x:c r="C75" s="294"/>
      <x:c r="D75" s="294"/>
      <x:c r="E75" s="314"/>
      <x:c r="F75" s="307" t="str">
        <x:f>IF(OR(A75="",B75="",C75=""),"",SUMIFS('04_SAKERNAS_AGG'!$K$2:$K$301,'04_SAKERNAS_AGG'!$E$2:$E$301,A75,'04_SAKERNAS_AGG'!$F$2:$F$301,B75,'04_SAKERNAS_AGG'!$H$2:$H$301,C75))</x:f>
      </x:c>
      <x:c r="G75" s="307" t="str">
        <x:f>IF(OR(E75="",F75=""),"",E75*F75)</x:f>
      </x:c>
      <x:c r="H75" s="307" t="str">
        <x:f>IF(OR(A75="",B75="",G75=""),"",SUMIFS($G$2:$G$301,$A$2:$A$301,A75,$B$2:$B$301,B75))</x:f>
      </x:c>
      <x:c r="I75" s="308" t="str">
        <x:f>IFERROR(G75/H75,"")</x:f>
      </x:c>
      <x:c r="J75" s="235"/>
      <x:c r="K75" s="235"/>
      <x:c r="L75" s="235"/>
      <x:c r="M75" s="235"/>
      <x:c r="N75" s="315" t="str">
        <x:f>IF(OR(I75="",K75=""),"",100*I75*K75)</x:f>
      </x:c>
      <x:c r="O75" s="308" t="str">
        <x:f>IF(OR(I75="",M75=""),"",I75*M75)</x:f>
      </x:c>
      <x:c r="P75" s="235"/>
      <x:c r="Q75" s="235"/>
      <x:c r="R75" s="235"/>
      <x:c r="S75" s="308" t="str">
        <x:f>IF(OR(A75="",B75=""),"",SUMIFS($I$2:$I$301,$A$2:$A$301,A75,$B$2:$B$301,B75))</x:f>
      </x:c>
      <x:c r="T75" s="233" t="str">
        <x:f>IF(B75="","",IF(ABS(S75-1)&gt;0.000001,"ERROR_SHARE",IF(OR(Q75&lt;&gt;"VERIFIED",R75&lt;&gt;"VERIFIED"),"CHECK_MAPPING","OK")))</x:f>
      </x:c>
      <x:c r="U75" s="297"/>
    </x:row>
    <x:row r="76">
      <x:c r="A76" s="293"/>
      <x:c r="B76" s="235"/>
      <x:c r="C76" s="294"/>
      <x:c r="D76" s="294"/>
      <x:c r="E76" s="314"/>
      <x:c r="F76" s="307" t="str">
        <x:f>IF(OR(A76="",B76="",C76=""),"",SUMIFS('04_SAKERNAS_AGG'!$K$2:$K$301,'04_SAKERNAS_AGG'!$E$2:$E$301,A76,'04_SAKERNAS_AGG'!$F$2:$F$301,B76,'04_SAKERNAS_AGG'!$H$2:$H$301,C76))</x:f>
      </x:c>
      <x:c r="G76" s="307" t="str">
        <x:f>IF(OR(E76="",F76=""),"",E76*F76)</x:f>
      </x:c>
      <x:c r="H76" s="307" t="str">
        <x:f>IF(OR(A76="",B76="",G76=""),"",SUMIFS($G$2:$G$301,$A$2:$A$301,A76,$B$2:$B$301,B76))</x:f>
      </x:c>
      <x:c r="I76" s="308" t="str">
        <x:f>IFERROR(G76/H76,"")</x:f>
      </x:c>
      <x:c r="J76" s="235"/>
      <x:c r="K76" s="235"/>
      <x:c r="L76" s="235"/>
      <x:c r="M76" s="235"/>
      <x:c r="N76" s="315" t="str">
        <x:f>IF(OR(I76="",K76=""),"",100*I76*K76)</x:f>
      </x:c>
      <x:c r="O76" s="308" t="str">
        <x:f>IF(OR(I76="",M76=""),"",I76*M76)</x:f>
      </x:c>
      <x:c r="P76" s="235"/>
      <x:c r="Q76" s="235"/>
      <x:c r="R76" s="235"/>
      <x:c r="S76" s="308" t="str">
        <x:f>IF(OR(A76="",B76=""),"",SUMIFS($I$2:$I$301,$A$2:$A$301,A76,$B$2:$B$301,B76))</x:f>
      </x:c>
      <x:c r="T76" s="233" t="str">
        <x:f>IF(B76="","",IF(ABS(S76-1)&gt;0.000001,"ERROR_SHARE",IF(OR(Q76&lt;&gt;"VERIFIED",R76&lt;&gt;"VERIFIED"),"CHECK_MAPPING","OK")))</x:f>
      </x:c>
      <x:c r="U76" s="297"/>
    </x:row>
    <x:row r="77">
      <x:c r="A77" s="293"/>
      <x:c r="B77" s="235"/>
      <x:c r="C77" s="294"/>
      <x:c r="D77" s="294"/>
      <x:c r="E77" s="314"/>
      <x:c r="F77" s="307" t="str">
        <x:f>IF(OR(A77="",B77="",C77=""),"",SUMIFS('04_SAKERNAS_AGG'!$K$2:$K$301,'04_SAKERNAS_AGG'!$E$2:$E$301,A77,'04_SAKERNAS_AGG'!$F$2:$F$301,B77,'04_SAKERNAS_AGG'!$H$2:$H$301,C77))</x:f>
      </x:c>
      <x:c r="G77" s="307" t="str">
        <x:f>IF(OR(E77="",F77=""),"",E77*F77)</x:f>
      </x:c>
      <x:c r="H77" s="307" t="str">
        <x:f>IF(OR(A77="",B77="",G77=""),"",SUMIFS($G$2:$G$301,$A$2:$A$301,A77,$B$2:$B$301,B77))</x:f>
      </x:c>
      <x:c r="I77" s="308" t="str">
        <x:f>IFERROR(G77/H77,"")</x:f>
      </x:c>
      <x:c r="J77" s="235"/>
      <x:c r="K77" s="235"/>
      <x:c r="L77" s="235"/>
      <x:c r="M77" s="235"/>
      <x:c r="N77" s="315" t="str">
        <x:f>IF(OR(I77="",K77=""),"",100*I77*K77)</x:f>
      </x:c>
      <x:c r="O77" s="308" t="str">
        <x:f>IF(OR(I77="",M77=""),"",I77*M77)</x:f>
      </x:c>
      <x:c r="P77" s="235"/>
      <x:c r="Q77" s="235"/>
      <x:c r="R77" s="235"/>
      <x:c r="S77" s="308" t="str">
        <x:f>IF(OR(A77="",B77=""),"",SUMIFS($I$2:$I$301,$A$2:$A$301,A77,$B$2:$B$301,B77))</x:f>
      </x:c>
      <x:c r="T77" s="233" t="str">
        <x:f>IF(B77="","",IF(ABS(S77-1)&gt;0.000001,"ERROR_SHARE",IF(OR(Q77&lt;&gt;"VERIFIED",R77&lt;&gt;"VERIFIED"),"CHECK_MAPPING","OK")))</x:f>
      </x:c>
      <x:c r="U77" s="297"/>
    </x:row>
    <x:row r="78">
      <x:c r="A78" s="293"/>
      <x:c r="B78" s="235"/>
      <x:c r="C78" s="294"/>
      <x:c r="D78" s="294"/>
      <x:c r="E78" s="314"/>
      <x:c r="F78" s="307" t="str">
        <x:f>IF(OR(A78="",B78="",C78=""),"",SUMIFS('04_SAKERNAS_AGG'!$K$2:$K$301,'04_SAKERNAS_AGG'!$E$2:$E$301,A78,'04_SAKERNAS_AGG'!$F$2:$F$301,B78,'04_SAKERNAS_AGG'!$H$2:$H$301,C78))</x:f>
      </x:c>
      <x:c r="G78" s="307" t="str">
        <x:f>IF(OR(E78="",F78=""),"",E78*F78)</x:f>
      </x:c>
      <x:c r="H78" s="307" t="str">
        <x:f>IF(OR(A78="",B78="",G78=""),"",SUMIFS($G$2:$G$301,$A$2:$A$301,A78,$B$2:$B$301,B78))</x:f>
      </x:c>
      <x:c r="I78" s="308" t="str">
        <x:f>IFERROR(G78/H78,"")</x:f>
      </x:c>
      <x:c r="J78" s="235"/>
      <x:c r="K78" s="235"/>
      <x:c r="L78" s="235"/>
      <x:c r="M78" s="235"/>
      <x:c r="N78" s="315" t="str">
        <x:f>IF(OR(I78="",K78=""),"",100*I78*K78)</x:f>
      </x:c>
      <x:c r="O78" s="308" t="str">
        <x:f>IF(OR(I78="",M78=""),"",I78*M78)</x:f>
      </x:c>
      <x:c r="P78" s="235"/>
      <x:c r="Q78" s="235"/>
      <x:c r="R78" s="235"/>
      <x:c r="S78" s="308" t="str">
        <x:f>IF(OR(A78="",B78=""),"",SUMIFS($I$2:$I$301,$A$2:$A$301,A78,$B$2:$B$301,B78))</x:f>
      </x:c>
      <x:c r="T78" s="233" t="str">
        <x:f>IF(B78="","",IF(ABS(S78-1)&gt;0.000001,"ERROR_SHARE",IF(OR(Q78&lt;&gt;"VERIFIED",R78&lt;&gt;"VERIFIED"),"CHECK_MAPPING","OK")))</x:f>
      </x:c>
      <x:c r="U78" s="297"/>
    </x:row>
    <x:row r="79">
      <x:c r="A79" s="293"/>
      <x:c r="B79" s="235"/>
      <x:c r="C79" s="294"/>
      <x:c r="D79" s="294"/>
      <x:c r="E79" s="314"/>
      <x:c r="F79" s="307" t="str">
        <x:f>IF(OR(A79="",B79="",C79=""),"",SUMIFS('04_SAKERNAS_AGG'!$K$2:$K$301,'04_SAKERNAS_AGG'!$E$2:$E$301,A79,'04_SAKERNAS_AGG'!$F$2:$F$301,B79,'04_SAKERNAS_AGG'!$H$2:$H$301,C79))</x:f>
      </x:c>
      <x:c r="G79" s="307" t="str">
        <x:f>IF(OR(E79="",F79=""),"",E79*F79)</x:f>
      </x:c>
      <x:c r="H79" s="307" t="str">
        <x:f>IF(OR(A79="",B79="",G79=""),"",SUMIFS($G$2:$G$301,$A$2:$A$301,A79,$B$2:$B$301,B79))</x:f>
      </x:c>
      <x:c r="I79" s="308" t="str">
        <x:f>IFERROR(G79/H79,"")</x:f>
      </x:c>
      <x:c r="J79" s="235"/>
      <x:c r="K79" s="235"/>
      <x:c r="L79" s="235"/>
      <x:c r="M79" s="235"/>
      <x:c r="N79" s="315" t="str">
        <x:f>IF(OR(I79="",K79=""),"",100*I79*K79)</x:f>
      </x:c>
      <x:c r="O79" s="308" t="str">
        <x:f>IF(OR(I79="",M79=""),"",I79*M79)</x:f>
      </x:c>
      <x:c r="P79" s="235"/>
      <x:c r="Q79" s="235"/>
      <x:c r="R79" s="235"/>
      <x:c r="S79" s="308" t="str">
        <x:f>IF(OR(A79="",B79=""),"",SUMIFS($I$2:$I$301,$A$2:$A$301,A79,$B$2:$B$301,B79))</x:f>
      </x:c>
      <x:c r="T79" s="233" t="str">
        <x:f>IF(B79="","",IF(ABS(S79-1)&gt;0.000001,"ERROR_SHARE",IF(OR(Q79&lt;&gt;"VERIFIED",R79&lt;&gt;"VERIFIED"),"CHECK_MAPPING","OK")))</x:f>
      </x:c>
      <x:c r="U79" s="297"/>
    </x:row>
    <x:row r="80">
      <x:c r="A80" s="293"/>
      <x:c r="B80" s="235"/>
      <x:c r="C80" s="294"/>
      <x:c r="D80" s="294"/>
      <x:c r="E80" s="314"/>
      <x:c r="F80" s="307" t="str">
        <x:f>IF(OR(A80="",B80="",C80=""),"",SUMIFS('04_SAKERNAS_AGG'!$K$2:$K$301,'04_SAKERNAS_AGG'!$E$2:$E$301,A80,'04_SAKERNAS_AGG'!$F$2:$F$301,B80,'04_SAKERNAS_AGG'!$H$2:$H$301,C80))</x:f>
      </x:c>
      <x:c r="G80" s="307" t="str">
        <x:f>IF(OR(E80="",F80=""),"",E80*F80)</x:f>
      </x:c>
      <x:c r="H80" s="307" t="str">
        <x:f>IF(OR(A80="",B80="",G80=""),"",SUMIFS($G$2:$G$301,$A$2:$A$301,A80,$B$2:$B$301,B80))</x:f>
      </x:c>
      <x:c r="I80" s="308" t="str">
        <x:f>IFERROR(G80/H80,"")</x:f>
      </x:c>
      <x:c r="J80" s="235"/>
      <x:c r="K80" s="235"/>
      <x:c r="L80" s="235"/>
      <x:c r="M80" s="235"/>
      <x:c r="N80" s="315" t="str">
        <x:f>IF(OR(I80="",K80=""),"",100*I80*K80)</x:f>
      </x:c>
      <x:c r="O80" s="308" t="str">
        <x:f>IF(OR(I80="",M80=""),"",I80*M80)</x:f>
      </x:c>
      <x:c r="P80" s="235"/>
      <x:c r="Q80" s="235"/>
      <x:c r="R80" s="235"/>
      <x:c r="S80" s="308" t="str">
        <x:f>IF(OR(A80="",B80=""),"",SUMIFS($I$2:$I$301,$A$2:$A$301,A80,$B$2:$B$301,B80))</x:f>
      </x:c>
      <x:c r="T80" s="233" t="str">
        <x:f>IF(B80="","",IF(ABS(S80-1)&gt;0.000001,"ERROR_SHARE",IF(OR(Q80&lt;&gt;"VERIFIED",R80&lt;&gt;"VERIFIED"),"CHECK_MAPPING","OK")))</x:f>
      </x:c>
      <x:c r="U80" s="297"/>
    </x:row>
    <x:row r="81">
      <x:c r="A81" s="293"/>
      <x:c r="B81" s="235"/>
      <x:c r="C81" s="294"/>
      <x:c r="D81" s="294"/>
      <x:c r="E81" s="314"/>
      <x:c r="F81" s="307" t="str">
        <x:f>IF(OR(A81="",B81="",C81=""),"",SUMIFS('04_SAKERNAS_AGG'!$K$2:$K$301,'04_SAKERNAS_AGG'!$E$2:$E$301,A81,'04_SAKERNAS_AGG'!$F$2:$F$301,B81,'04_SAKERNAS_AGG'!$H$2:$H$301,C81))</x:f>
      </x:c>
      <x:c r="G81" s="307" t="str">
        <x:f>IF(OR(E81="",F81=""),"",E81*F81)</x:f>
      </x:c>
      <x:c r="H81" s="307" t="str">
        <x:f>IF(OR(A81="",B81="",G81=""),"",SUMIFS($G$2:$G$301,$A$2:$A$301,A81,$B$2:$B$301,B81))</x:f>
      </x:c>
      <x:c r="I81" s="308" t="str">
        <x:f>IFERROR(G81/H81,"")</x:f>
      </x:c>
      <x:c r="J81" s="235"/>
      <x:c r="K81" s="235"/>
      <x:c r="L81" s="235"/>
      <x:c r="M81" s="235"/>
      <x:c r="N81" s="315" t="str">
        <x:f>IF(OR(I81="",K81=""),"",100*I81*K81)</x:f>
      </x:c>
      <x:c r="O81" s="308" t="str">
        <x:f>IF(OR(I81="",M81=""),"",I81*M81)</x:f>
      </x:c>
      <x:c r="P81" s="235"/>
      <x:c r="Q81" s="235"/>
      <x:c r="R81" s="235"/>
      <x:c r="S81" s="308" t="str">
        <x:f>IF(OR(A81="",B81=""),"",SUMIFS($I$2:$I$301,$A$2:$A$301,A81,$B$2:$B$301,B81))</x:f>
      </x:c>
      <x:c r="T81" s="233" t="str">
        <x:f>IF(B81="","",IF(ABS(S81-1)&gt;0.000001,"ERROR_SHARE",IF(OR(Q81&lt;&gt;"VERIFIED",R81&lt;&gt;"VERIFIED"),"CHECK_MAPPING","OK")))</x:f>
      </x:c>
      <x:c r="U81" s="297"/>
    </x:row>
    <x:row r="82">
      <x:c r="A82" s="293"/>
      <x:c r="B82" s="235"/>
      <x:c r="C82" s="294"/>
      <x:c r="D82" s="294"/>
      <x:c r="E82" s="314"/>
      <x:c r="F82" s="307" t="str">
        <x:f>IF(OR(A82="",B82="",C82=""),"",SUMIFS('04_SAKERNAS_AGG'!$K$2:$K$301,'04_SAKERNAS_AGG'!$E$2:$E$301,A82,'04_SAKERNAS_AGG'!$F$2:$F$301,B82,'04_SAKERNAS_AGG'!$H$2:$H$301,C82))</x:f>
      </x:c>
      <x:c r="G82" s="307" t="str">
        <x:f>IF(OR(E82="",F82=""),"",E82*F82)</x:f>
      </x:c>
      <x:c r="H82" s="307" t="str">
        <x:f>IF(OR(A82="",B82="",G82=""),"",SUMIFS($G$2:$G$301,$A$2:$A$301,A82,$B$2:$B$301,B82))</x:f>
      </x:c>
      <x:c r="I82" s="308" t="str">
        <x:f>IFERROR(G82/H82,"")</x:f>
      </x:c>
      <x:c r="J82" s="235"/>
      <x:c r="K82" s="235"/>
      <x:c r="L82" s="235"/>
      <x:c r="M82" s="235"/>
      <x:c r="N82" s="315" t="str">
        <x:f>IF(OR(I82="",K82=""),"",100*I82*K82)</x:f>
      </x:c>
      <x:c r="O82" s="308" t="str">
        <x:f>IF(OR(I82="",M82=""),"",I82*M82)</x:f>
      </x:c>
      <x:c r="P82" s="235"/>
      <x:c r="Q82" s="235"/>
      <x:c r="R82" s="235"/>
      <x:c r="S82" s="308" t="str">
        <x:f>IF(OR(A82="",B82=""),"",SUMIFS($I$2:$I$301,$A$2:$A$301,A82,$B$2:$B$301,B82))</x:f>
      </x:c>
      <x:c r="T82" s="233" t="str">
        <x:f>IF(B82="","",IF(ABS(S82-1)&gt;0.000001,"ERROR_SHARE",IF(OR(Q82&lt;&gt;"VERIFIED",R82&lt;&gt;"VERIFIED"),"CHECK_MAPPING","OK")))</x:f>
      </x:c>
      <x:c r="U82" s="297"/>
    </x:row>
    <x:row r="83">
      <x:c r="A83" s="293"/>
      <x:c r="B83" s="235"/>
      <x:c r="C83" s="294"/>
      <x:c r="D83" s="294"/>
      <x:c r="E83" s="314"/>
      <x:c r="F83" s="307" t="str">
        <x:f>IF(OR(A83="",B83="",C83=""),"",SUMIFS('04_SAKERNAS_AGG'!$K$2:$K$301,'04_SAKERNAS_AGG'!$E$2:$E$301,A83,'04_SAKERNAS_AGG'!$F$2:$F$301,B83,'04_SAKERNAS_AGG'!$H$2:$H$301,C83))</x:f>
      </x:c>
      <x:c r="G83" s="307" t="str">
        <x:f>IF(OR(E83="",F83=""),"",E83*F83)</x:f>
      </x:c>
      <x:c r="H83" s="307" t="str">
        <x:f>IF(OR(A83="",B83="",G83=""),"",SUMIFS($G$2:$G$301,$A$2:$A$301,A83,$B$2:$B$301,B83))</x:f>
      </x:c>
      <x:c r="I83" s="308" t="str">
        <x:f>IFERROR(G83/H83,"")</x:f>
      </x:c>
      <x:c r="J83" s="235"/>
      <x:c r="K83" s="235"/>
      <x:c r="L83" s="235"/>
      <x:c r="M83" s="235"/>
      <x:c r="N83" s="315" t="str">
        <x:f>IF(OR(I83="",K83=""),"",100*I83*K83)</x:f>
      </x:c>
      <x:c r="O83" s="308" t="str">
        <x:f>IF(OR(I83="",M83=""),"",I83*M83)</x:f>
      </x:c>
      <x:c r="P83" s="235"/>
      <x:c r="Q83" s="235"/>
      <x:c r="R83" s="235"/>
      <x:c r="S83" s="308" t="str">
        <x:f>IF(OR(A83="",B83=""),"",SUMIFS($I$2:$I$301,$A$2:$A$301,A83,$B$2:$B$301,B83))</x:f>
      </x:c>
      <x:c r="T83" s="233" t="str">
        <x:f>IF(B83="","",IF(ABS(S83-1)&gt;0.000001,"ERROR_SHARE",IF(OR(Q83&lt;&gt;"VERIFIED",R83&lt;&gt;"VERIFIED"),"CHECK_MAPPING","OK")))</x:f>
      </x:c>
      <x:c r="U83" s="297"/>
    </x:row>
    <x:row r="84">
      <x:c r="A84" s="293"/>
      <x:c r="B84" s="235"/>
      <x:c r="C84" s="294"/>
      <x:c r="D84" s="294"/>
      <x:c r="E84" s="314"/>
      <x:c r="F84" s="307" t="str">
        <x:f>IF(OR(A84="",B84="",C84=""),"",SUMIFS('04_SAKERNAS_AGG'!$K$2:$K$301,'04_SAKERNAS_AGG'!$E$2:$E$301,A84,'04_SAKERNAS_AGG'!$F$2:$F$301,B84,'04_SAKERNAS_AGG'!$H$2:$H$301,C84))</x:f>
      </x:c>
      <x:c r="G84" s="307" t="str">
        <x:f>IF(OR(E84="",F84=""),"",E84*F84)</x:f>
      </x:c>
      <x:c r="H84" s="307" t="str">
        <x:f>IF(OR(A84="",B84="",G84=""),"",SUMIFS($G$2:$G$301,$A$2:$A$301,A84,$B$2:$B$301,B84))</x:f>
      </x:c>
      <x:c r="I84" s="308" t="str">
        <x:f>IFERROR(G84/H84,"")</x:f>
      </x:c>
      <x:c r="J84" s="235"/>
      <x:c r="K84" s="235"/>
      <x:c r="L84" s="235"/>
      <x:c r="M84" s="235"/>
      <x:c r="N84" s="315" t="str">
        <x:f>IF(OR(I84="",K84=""),"",100*I84*K84)</x:f>
      </x:c>
      <x:c r="O84" s="308" t="str">
        <x:f>IF(OR(I84="",M84=""),"",I84*M84)</x:f>
      </x:c>
      <x:c r="P84" s="235"/>
      <x:c r="Q84" s="235"/>
      <x:c r="R84" s="235"/>
      <x:c r="S84" s="308" t="str">
        <x:f>IF(OR(A84="",B84=""),"",SUMIFS($I$2:$I$301,$A$2:$A$301,A84,$B$2:$B$301,B84))</x:f>
      </x:c>
      <x:c r="T84" s="233" t="str">
        <x:f>IF(B84="","",IF(ABS(S84-1)&gt;0.000001,"ERROR_SHARE",IF(OR(Q84&lt;&gt;"VERIFIED",R84&lt;&gt;"VERIFIED"),"CHECK_MAPPING","OK")))</x:f>
      </x:c>
      <x:c r="U84" s="297"/>
    </x:row>
    <x:row r="85">
      <x:c r="A85" s="293"/>
      <x:c r="B85" s="235"/>
      <x:c r="C85" s="294"/>
      <x:c r="D85" s="294"/>
      <x:c r="E85" s="314"/>
      <x:c r="F85" s="307" t="str">
        <x:f>IF(OR(A85="",B85="",C85=""),"",SUMIFS('04_SAKERNAS_AGG'!$K$2:$K$301,'04_SAKERNAS_AGG'!$E$2:$E$301,A85,'04_SAKERNAS_AGG'!$F$2:$F$301,B85,'04_SAKERNAS_AGG'!$H$2:$H$301,C85))</x:f>
      </x:c>
      <x:c r="G85" s="307" t="str">
        <x:f>IF(OR(E85="",F85=""),"",E85*F85)</x:f>
      </x:c>
      <x:c r="H85" s="307" t="str">
        <x:f>IF(OR(A85="",B85="",G85=""),"",SUMIFS($G$2:$G$301,$A$2:$A$301,A85,$B$2:$B$301,B85))</x:f>
      </x:c>
      <x:c r="I85" s="308" t="str">
        <x:f>IFERROR(G85/H85,"")</x:f>
      </x:c>
      <x:c r="J85" s="235"/>
      <x:c r="K85" s="235"/>
      <x:c r="L85" s="235"/>
      <x:c r="M85" s="235"/>
      <x:c r="N85" s="315" t="str">
        <x:f>IF(OR(I85="",K85=""),"",100*I85*K85)</x:f>
      </x:c>
      <x:c r="O85" s="308" t="str">
        <x:f>IF(OR(I85="",M85=""),"",I85*M85)</x:f>
      </x:c>
      <x:c r="P85" s="235"/>
      <x:c r="Q85" s="235"/>
      <x:c r="R85" s="235"/>
      <x:c r="S85" s="308" t="str">
        <x:f>IF(OR(A85="",B85=""),"",SUMIFS($I$2:$I$301,$A$2:$A$301,A85,$B$2:$B$301,B85))</x:f>
      </x:c>
      <x:c r="T85" s="233" t="str">
        <x:f>IF(B85="","",IF(ABS(S85-1)&gt;0.000001,"ERROR_SHARE",IF(OR(Q85&lt;&gt;"VERIFIED",R85&lt;&gt;"VERIFIED"),"CHECK_MAPPING","OK")))</x:f>
      </x:c>
      <x:c r="U85" s="297"/>
    </x:row>
    <x:row r="86">
      <x:c r="A86" s="293"/>
      <x:c r="B86" s="235"/>
      <x:c r="C86" s="294"/>
      <x:c r="D86" s="294"/>
      <x:c r="E86" s="314"/>
      <x:c r="F86" s="307" t="str">
        <x:f>IF(OR(A86="",B86="",C86=""),"",SUMIFS('04_SAKERNAS_AGG'!$K$2:$K$301,'04_SAKERNAS_AGG'!$E$2:$E$301,A86,'04_SAKERNAS_AGG'!$F$2:$F$301,B86,'04_SAKERNAS_AGG'!$H$2:$H$301,C86))</x:f>
      </x:c>
      <x:c r="G86" s="307" t="str">
        <x:f>IF(OR(E86="",F86=""),"",E86*F86)</x:f>
      </x:c>
      <x:c r="H86" s="307" t="str">
        <x:f>IF(OR(A86="",B86="",G86=""),"",SUMIFS($G$2:$G$301,$A$2:$A$301,A86,$B$2:$B$301,B86))</x:f>
      </x:c>
      <x:c r="I86" s="308" t="str">
        <x:f>IFERROR(G86/H86,"")</x:f>
      </x:c>
      <x:c r="J86" s="235"/>
      <x:c r="K86" s="235"/>
      <x:c r="L86" s="235"/>
      <x:c r="M86" s="235"/>
      <x:c r="N86" s="315" t="str">
        <x:f>IF(OR(I86="",K86=""),"",100*I86*K86)</x:f>
      </x:c>
      <x:c r="O86" s="308" t="str">
        <x:f>IF(OR(I86="",M86=""),"",I86*M86)</x:f>
      </x:c>
      <x:c r="P86" s="235"/>
      <x:c r="Q86" s="235"/>
      <x:c r="R86" s="235"/>
      <x:c r="S86" s="308" t="str">
        <x:f>IF(OR(A86="",B86=""),"",SUMIFS($I$2:$I$301,$A$2:$A$301,A86,$B$2:$B$301,B86))</x:f>
      </x:c>
      <x:c r="T86" s="233" t="str">
        <x:f>IF(B86="","",IF(ABS(S86-1)&gt;0.000001,"ERROR_SHARE",IF(OR(Q86&lt;&gt;"VERIFIED",R86&lt;&gt;"VERIFIED"),"CHECK_MAPPING","OK")))</x:f>
      </x:c>
      <x:c r="U86" s="297"/>
    </x:row>
    <x:row r="87">
      <x:c r="A87" s="293"/>
      <x:c r="B87" s="235"/>
      <x:c r="C87" s="294"/>
      <x:c r="D87" s="294"/>
      <x:c r="E87" s="314"/>
      <x:c r="F87" s="307" t="str">
        <x:f>IF(OR(A87="",B87="",C87=""),"",SUMIFS('04_SAKERNAS_AGG'!$K$2:$K$301,'04_SAKERNAS_AGG'!$E$2:$E$301,A87,'04_SAKERNAS_AGG'!$F$2:$F$301,B87,'04_SAKERNAS_AGG'!$H$2:$H$301,C87))</x:f>
      </x:c>
      <x:c r="G87" s="307" t="str">
        <x:f>IF(OR(E87="",F87=""),"",E87*F87)</x:f>
      </x:c>
      <x:c r="H87" s="307" t="str">
        <x:f>IF(OR(A87="",B87="",G87=""),"",SUMIFS($G$2:$G$301,$A$2:$A$301,A87,$B$2:$B$301,B87))</x:f>
      </x:c>
      <x:c r="I87" s="308" t="str">
        <x:f>IFERROR(G87/H87,"")</x:f>
      </x:c>
      <x:c r="J87" s="235"/>
      <x:c r="K87" s="235"/>
      <x:c r="L87" s="235"/>
      <x:c r="M87" s="235"/>
      <x:c r="N87" s="315" t="str">
        <x:f>IF(OR(I87="",K87=""),"",100*I87*K87)</x:f>
      </x:c>
      <x:c r="O87" s="308" t="str">
        <x:f>IF(OR(I87="",M87=""),"",I87*M87)</x:f>
      </x:c>
      <x:c r="P87" s="235"/>
      <x:c r="Q87" s="235"/>
      <x:c r="R87" s="235"/>
      <x:c r="S87" s="308" t="str">
        <x:f>IF(OR(A87="",B87=""),"",SUMIFS($I$2:$I$301,$A$2:$A$301,A87,$B$2:$B$301,B87))</x:f>
      </x:c>
      <x:c r="T87" s="233" t="str">
        <x:f>IF(B87="","",IF(ABS(S87-1)&gt;0.000001,"ERROR_SHARE",IF(OR(Q87&lt;&gt;"VERIFIED",R87&lt;&gt;"VERIFIED"),"CHECK_MAPPING","OK")))</x:f>
      </x:c>
      <x:c r="U87" s="297"/>
    </x:row>
    <x:row r="88">
      <x:c r="A88" s="293"/>
      <x:c r="B88" s="235"/>
      <x:c r="C88" s="294"/>
      <x:c r="D88" s="294"/>
      <x:c r="E88" s="314"/>
      <x:c r="F88" s="307" t="str">
        <x:f>IF(OR(A88="",B88="",C88=""),"",SUMIFS('04_SAKERNAS_AGG'!$K$2:$K$301,'04_SAKERNAS_AGG'!$E$2:$E$301,A88,'04_SAKERNAS_AGG'!$F$2:$F$301,B88,'04_SAKERNAS_AGG'!$H$2:$H$301,C88))</x:f>
      </x:c>
      <x:c r="G88" s="307" t="str">
        <x:f>IF(OR(E88="",F88=""),"",E88*F88)</x:f>
      </x:c>
      <x:c r="H88" s="307" t="str">
        <x:f>IF(OR(A88="",B88="",G88=""),"",SUMIFS($G$2:$G$301,$A$2:$A$301,A88,$B$2:$B$301,B88))</x:f>
      </x:c>
      <x:c r="I88" s="308" t="str">
        <x:f>IFERROR(G88/H88,"")</x:f>
      </x:c>
      <x:c r="J88" s="235"/>
      <x:c r="K88" s="235"/>
      <x:c r="L88" s="235"/>
      <x:c r="M88" s="235"/>
      <x:c r="N88" s="315" t="str">
        <x:f>IF(OR(I88="",K88=""),"",100*I88*K88)</x:f>
      </x:c>
      <x:c r="O88" s="308" t="str">
        <x:f>IF(OR(I88="",M88=""),"",I88*M88)</x:f>
      </x:c>
      <x:c r="P88" s="235"/>
      <x:c r="Q88" s="235"/>
      <x:c r="R88" s="235"/>
      <x:c r="S88" s="308" t="str">
        <x:f>IF(OR(A88="",B88=""),"",SUMIFS($I$2:$I$301,$A$2:$A$301,A88,$B$2:$B$301,B88))</x:f>
      </x:c>
      <x:c r="T88" s="233" t="str">
        <x:f>IF(B88="","",IF(ABS(S88-1)&gt;0.000001,"ERROR_SHARE",IF(OR(Q88&lt;&gt;"VERIFIED",R88&lt;&gt;"VERIFIED"),"CHECK_MAPPING","OK")))</x:f>
      </x:c>
      <x:c r="U88" s="297"/>
    </x:row>
    <x:row r="89">
      <x:c r="A89" s="293"/>
      <x:c r="B89" s="235"/>
      <x:c r="C89" s="294"/>
      <x:c r="D89" s="294"/>
      <x:c r="E89" s="314"/>
      <x:c r="F89" s="307" t="str">
        <x:f>IF(OR(A89="",B89="",C89=""),"",SUMIFS('04_SAKERNAS_AGG'!$K$2:$K$301,'04_SAKERNAS_AGG'!$E$2:$E$301,A89,'04_SAKERNAS_AGG'!$F$2:$F$301,B89,'04_SAKERNAS_AGG'!$H$2:$H$301,C89))</x:f>
      </x:c>
      <x:c r="G89" s="307" t="str">
        <x:f>IF(OR(E89="",F89=""),"",E89*F89)</x:f>
      </x:c>
      <x:c r="H89" s="307" t="str">
        <x:f>IF(OR(A89="",B89="",G89=""),"",SUMIFS($G$2:$G$301,$A$2:$A$301,A89,$B$2:$B$301,B89))</x:f>
      </x:c>
      <x:c r="I89" s="308" t="str">
        <x:f>IFERROR(G89/H89,"")</x:f>
      </x:c>
      <x:c r="J89" s="235"/>
      <x:c r="K89" s="235"/>
      <x:c r="L89" s="235"/>
      <x:c r="M89" s="235"/>
      <x:c r="N89" s="315" t="str">
        <x:f>IF(OR(I89="",K89=""),"",100*I89*K89)</x:f>
      </x:c>
      <x:c r="O89" s="308" t="str">
        <x:f>IF(OR(I89="",M89=""),"",I89*M89)</x:f>
      </x:c>
      <x:c r="P89" s="235"/>
      <x:c r="Q89" s="235"/>
      <x:c r="R89" s="235"/>
      <x:c r="S89" s="308" t="str">
        <x:f>IF(OR(A89="",B89=""),"",SUMIFS($I$2:$I$301,$A$2:$A$301,A89,$B$2:$B$301,B89))</x:f>
      </x:c>
      <x:c r="T89" s="233" t="str">
        <x:f>IF(B89="","",IF(ABS(S89-1)&gt;0.000001,"ERROR_SHARE",IF(OR(Q89&lt;&gt;"VERIFIED",R89&lt;&gt;"VERIFIED"),"CHECK_MAPPING","OK")))</x:f>
      </x:c>
      <x:c r="U89" s="297"/>
    </x:row>
    <x:row r="90">
      <x:c r="A90" s="293"/>
      <x:c r="B90" s="235"/>
      <x:c r="C90" s="294"/>
      <x:c r="D90" s="294"/>
      <x:c r="E90" s="314"/>
      <x:c r="F90" s="307" t="str">
        <x:f>IF(OR(A90="",B90="",C90=""),"",SUMIFS('04_SAKERNAS_AGG'!$K$2:$K$301,'04_SAKERNAS_AGG'!$E$2:$E$301,A90,'04_SAKERNAS_AGG'!$F$2:$F$301,B90,'04_SAKERNAS_AGG'!$H$2:$H$301,C90))</x:f>
      </x:c>
      <x:c r="G90" s="307" t="str">
        <x:f>IF(OR(E90="",F90=""),"",E90*F90)</x:f>
      </x:c>
      <x:c r="H90" s="307" t="str">
        <x:f>IF(OR(A90="",B90="",G90=""),"",SUMIFS($G$2:$G$301,$A$2:$A$301,A90,$B$2:$B$301,B90))</x:f>
      </x:c>
      <x:c r="I90" s="308" t="str">
        <x:f>IFERROR(G90/H90,"")</x:f>
      </x:c>
      <x:c r="J90" s="235"/>
      <x:c r="K90" s="235"/>
      <x:c r="L90" s="235"/>
      <x:c r="M90" s="235"/>
      <x:c r="N90" s="315" t="str">
        <x:f>IF(OR(I90="",K90=""),"",100*I90*K90)</x:f>
      </x:c>
      <x:c r="O90" s="308" t="str">
        <x:f>IF(OR(I90="",M90=""),"",I90*M90)</x:f>
      </x:c>
      <x:c r="P90" s="235"/>
      <x:c r="Q90" s="235"/>
      <x:c r="R90" s="235"/>
      <x:c r="S90" s="308" t="str">
        <x:f>IF(OR(A90="",B90=""),"",SUMIFS($I$2:$I$301,$A$2:$A$301,A90,$B$2:$B$301,B90))</x:f>
      </x:c>
      <x:c r="T90" s="233" t="str">
        <x:f>IF(B90="","",IF(ABS(S90-1)&gt;0.000001,"ERROR_SHARE",IF(OR(Q90&lt;&gt;"VERIFIED",R90&lt;&gt;"VERIFIED"),"CHECK_MAPPING","OK")))</x:f>
      </x:c>
      <x:c r="U90" s="297"/>
    </x:row>
    <x:row r="91">
      <x:c r="A91" s="293"/>
      <x:c r="B91" s="235"/>
      <x:c r="C91" s="294"/>
      <x:c r="D91" s="294"/>
      <x:c r="E91" s="314"/>
      <x:c r="F91" s="307" t="str">
        <x:f>IF(OR(A91="",B91="",C91=""),"",SUMIFS('04_SAKERNAS_AGG'!$K$2:$K$301,'04_SAKERNAS_AGG'!$E$2:$E$301,A91,'04_SAKERNAS_AGG'!$F$2:$F$301,B91,'04_SAKERNAS_AGG'!$H$2:$H$301,C91))</x:f>
      </x:c>
      <x:c r="G91" s="307" t="str">
        <x:f>IF(OR(E91="",F91=""),"",E91*F91)</x:f>
      </x:c>
      <x:c r="H91" s="307" t="str">
        <x:f>IF(OR(A91="",B91="",G91=""),"",SUMIFS($G$2:$G$301,$A$2:$A$301,A91,$B$2:$B$301,B91))</x:f>
      </x:c>
      <x:c r="I91" s="308" t="str">
        <x:f>IFERROR(G91/H91,"")</x:f>
      </x:c>
      <x:c r="J91" s="235"/>
      <x:c r="K91" s="235"/>
      <x:c r="L91" s="235"/>
      <x:c r="M91" s="235"/>
      <x:c r="N91" s="315" t="str">
        <x:f>IF(OR(I91="",K91=""),"",100*I91*K91)</x:f>
      </x:c>
      <x:c r="O91" s="308" t="str">
        <x:f>IF(OR(I91="",M91=""),"",I91*M91)</x:f>
      </x:c>
      <x:c r="P91" s="235"/>
      <x:c r="Q91" s="235"/>
      <x:c r="R91" s="235"/>
      <x:c r="S91" s="308" t="str">
        <x:f>IF(OR(A91="",B91=""),"",SUMIFS($I$2:$I$301,$A$2:$A$301,A91,$B$2:$B$301,B91))</x:f>
      </x:c>
      <x:c r="T91" s="233" t="str">
        <x:f>IF(B91="","",IF(ABS(S91-1)&gt;0.000001,"ERROR_SHARE",IF(OR(Q91&lt;&gt;"VERIFIED",R91&lt;&gt;"VERIFIED"),"CHECK_MAPPING","OK")))</x:f>
      </x:c>
      <x:c r="U91" s="297"/>
    </x:row>
    <x:row r="92">
      <x:c r="A92" s="293"/>
      <x:c r="B92" s="235"/>
      <x:c r="C92" s="294"/>
      <x:c r="D92" s="294"/>
      <x:c r="E92" s="314"/>
      <x:c r="F92" s="307" t="str">
        <x:f>IF(OR(A92="",B92="",C92=""),"",SUMIFS('04_SAKERNAS_AGG'!$K$2:$K$301,'04_SAKERNAS_AGG'!$E$2:$E$301,A92,'04_SAKERNAS_AGG'!$F$2:$F$301,B92,'04_SAKERNAS_AGG'!$H$2:$H$301,C92))</x:f>
      </x:c>
      <x:c r="G92" s="307" t="str">
        <x:f>IF(OR(E92="",F92=""),"",E92*F92)</x:f>
      </x:c>
      <x:c r="H92" s="307" t="str">
        <x:f>IF(OR(A92="",B92="",G92=""),"",SUMIFS($G$2:$G$301,$A$2:$A$301,A92,$B$2:$B$301,B92))</x:f>
      </x:c>
      <x:c r="I92" s="308" t="str">
        <x:f>IFERROR(G92/H92,"")</x:f>
      </x:c>
      <x:c r="J92" s="235"/>
      <x:c r="K92" s="235"/>
      <x:c r="L92" s="235"/>
      <x:c r="M92" s="235"/>
      <x:c r="N92" s="315" t="str">
        <x:f>IF(OR(I92="",K92=""),"",100*I92*K92)</x:f>
      </x:c>
      <x:c r="O92" s="308" t="str">
        <x:f>IF(OR(I92="",M92=""),"",I92*M92)</x:f>
      </x:c>
      <x:c r="P92" s="235"/>
      <x:c r="Q92" s="235"/>
      <x:c r="R92" s="235"/>
      <x:c r="S92" s="308" t="str">
        <x:f>IF(OR(A92="",B92=""),"",SUMIFS($I$2:$I$301,$A$2:$A$301,A92,$B$2:$B$301,B92))</x:f>
      </x:c>
      <x:c r="T92" s="233" t="str">
        <x:f>IF(B92="","",IF(ABS(S92-1)&gt;0.000001,"ERROR_SHARE",IF(OR(Q92&lt;&gt;"VERIFIED",R92&lt;&gt;"VERIFIED"),"CHECK_MAPPING","OK")))</x:f>
      </x:c>
      <x:c r="U92" s="297"/>
    </x:row>
    <x:row r="93">
      <x:c r="A93" s="293"/>
      <x:c r="B93" s="235"/>
      <x:c r="C93" s="294"/>
      <x:c r="D93" s="294"/>
      <x:c r="E93" s="314"/>
      <x:c r="F93" s="307" t="str">
        <x:f>IF(OR(A93="",B93="",C93=""),"",SUMIFS('04_SAKERNAS_AGG'!$K$2:$K$301,'04_SAKERNAS_AGG'!$E$2:$E$301,A93,'04_SAKERNAS_AGG'!$F$2:$F$301,B93,'04_SAKERNAS_AGG'!$H$2:$H$301,C93))</x:f>
      </x:c>
      <x:c r="G93" s="307" t="str">
        <x:f>IF(OR(E93="",F93=""),"",E93*F93)</x:f>
      </x:c>
      <x:c r="H93" s="307" t="str">
        <x:f>IF(OR(A93="",B93="",G93=""),"",SUMIFS($G$2:$G$301,$A$2:$A$301,A93,$B$2:$B$301,B93))</x:f>
      </x:c>
      <x:c r="I93" s="308" t="str">
        <x:f>IFERROR(G93/H93,"")</x:f>
      </x:c>
      <x:c r="J93" s="235"/>
      <x:c r="K93" s="235"/>
      <x:c r="L93" s="235"/>
      <x:c r="M93" s="235"/>
      <x:c r="N93" s="315" t="str">
        <x:f>IF(OR(I93="",K93=""),"",100*I93*K93)</x:f>
      </x:c>
      <x:c r="O93" s="308" t="str">
        <x:f>IF(OR(I93="",M93=""),"",I93*M93)</x:f>
      </x:c>
      <x:c r="P93" s="235"/>
      <x:c r="Q93" s="235"/>
      <x:c r="R93" s="235"/>
      <x:c r="S93" s="308" t="str">
        <x:f>IF(OR(A93="",B93=""),"",SUMIFS($I$2:$I$301,$A$2:$A$301,A93,$B$2:$B$301,B93))</x:f>
      </x:c>
      <x:c r="T93" s="233" t="str">
        <x:f>IF(B93="","",IF(ABS(S93-1)&gt;0.000001,"ERROR_SHARE",IF(OR(Q93&lt;&gt;"VERIFIED",R93&lt;&gt;"VERIFIED"),"CHECK_MAPPING","OK")))</x:f>
      </x:c>
      <x:c r="U93" s="297"/>
    </x:row>
    <x:row r="94">
      <x:c r="A94" s="293"/>
      <x:c r="B94" s="235"/>
      <x:c r="C94" s="294"/>
      <x:c r="D94" s="294"/>
      <x:c r="E94" s="314"/>
      <x:c r="F94" s="307" t="str">
        <x:f>IF(OR(A94="",B94="",C94=""),"",SUMIFS('04_SAKERNAS_AGG'!$K$2:$K$301,'04_SAKERNAS_AGG'!$E$2:$E$301,A94,'04_SAKERNAS_AGG'!$F$2:$F$301,B94,'04_SAKERNAS_AGG'!$H$2:$H$301,C94))</x:f>
      </x:c>
      <x:c r="G94" s="307" t="str">
        <x:f>IF(OR(E94="",F94=""),"",E94*F94)</x:f>
      </x:c>
      <x:c r="H94" s="307" t="str">
        <x:f>IF(OR(A94="",B94="",G94=""),"",SUMIFS($G$2:$G$301,$A$2:$A$301,A94,$B$2:$B$301,B94))</x:f>
      </x:c>
      <x:c r="I94" s="308" t="str">
        <x:f>IFERROR(G94/H94,"")</x:f>
      </x:c>
      <x:c r="J94" s="235"/>
      <x:c r="K94" s="235"/>
      <x:c r="L94" s="235"/>
      <x:c r="M94" s="235"/>
      <x:c r="N94" s="315" t="str">
        <x:f>IF(OR(I94="",K94=""),"",100*I94*K94)</x:f>
      </x:c>
      <x:c r="O94" s="308" t="str">
        <x:f>IF(OR(I94="",M94=""),"",I94*M94)</x:f>
      </x:c>
      <x:c r="P94" s="235"/>
      <x:c r="Q94" s="235"/>
      <x:c r="R94" s="235"/>
      <x:c r="S94" s="308" t="str">
        <x:f>IF(OR(A94="",B94=""),"",SUMIFS($I$2:$I$301,$A$2:$A$301,A94,$B$2:$B$301,B94))</x:f>
      </x:c>
      <x:c r="T94" s="233" t="str">
        <x:f>IF(B94="","",IF(ABS(S94-1)&gt;0.000001,"ERROR_SHARE",IF(OR(Q94&lt;&gt;"VERIFIED",R94&lt;&gt;"VERIFIED"),"CHECK_MAPPING","OK")))</x:f>
      </x:c>
      <x:c r="U94" s="297"/>
    </x:row>
    <x:row r="95">
      <x:c r="A95" s="293"/>
      <x:c r="B95" s="235"/>
      <x:c r="C95" s="294"/>
      <x:c r="D95" s="294"/>
      <x:c r="E95" s="314"/>
      <x:c r="F95" s="307" t="str">
        <x:f>IF(OR(A95="",B95="",C95=""),"",SUMIFS('04_SAKERNAS_AGG'!$K$2:$K$301,'04_SAKERNAS_AGG'!$E$2:$E$301,A95,'04_SAKERNAS_AGG'!$F$2:$F$301,B95,'04_SAKERNAS_AGG'!$H$2:$H$301,C95))</x:f>
      </x:c>
      <x:c r="G95" s="307" t="str">
        <x:f>IF(OR(E95="",F95=""),"",E95*F95)</x:f>
      </x:c>
      <x:c r="H95" s="307" t="str">
        <x:f>IF(OR(A95="",B95="",G95=""),"",SUMIFS($G$2:$G$301,$A$2:$A$301,A95,$B$2:$B$301,B95))</x:f>
      </x:c>
      <x:c r="I95" s="308" t="str">
        <x:f>IFERROR(G95/H95,"")</x:f>
      </x:c>
      <x:c r="J95" s="235"/>
      <x:c r="K95" s="235"/>
      <x:c r="L95" s="235"/>
      <x:c r="M95" s="235"/>
      <x:c r="N95" s="315" t="str">
        <x:f>IF(OR(I95="",K95=""),"",100*I95*K95)</x:f>
      </x:c>
      <x:c r="O95" s="308" t="str">
        <x:f>IF(OR(I95="",M95=""),"",I95*M95)</x:f>
      </x:c>
      <x:c r="P95" s="235"/>
      <x:c r="Q95" s="235"/>
      <x:c r="R95" s="235"/>
      <x:c r="S95" s="308" t="str">
        <x:f>IF(OR(A95="",B95=""),"",SUMIFS($I$2:$I$301,$A$2:$A$301,A95,$B$2:$B$301,B95))</x:f>
      </x:c>
      <x:c r="T95" s="233" t="str">
        <x:f>IF(B95="","",IF(ABS(S95-1)&gt;0.000001,"ERROR_SHARE",IF(OR(Q95&lt;&gt;"VERIFIED",R95&lt;&gt;"VERIFIED"),"CHECK_MAPPING","OK")))</x:f>
      </x:c>
      <x:c r="U95" s="297"/>
    </x:row>
    <x:row r="96">
      <x:c r="A96" s="293"/>
      <x:c r="B96" s="235"/>
      <x:c r="C96" s="294"/>
      <x:c r="D96" s="294"/>
      <x:c r="E96" s="314"/>
      <x:c r="F96" s="307" t="str">
        <x:f>IF(OR(A96="",B96="",C96=""),"",SUMIFS('04_SAKERNAS_AGG'!$K$2:$K$301,'04_SAKERNAS_AGG'!$E$2:$E$301,A96,'04_SAKERNAS_AGG'!$F$2:$F$301,B96,'04_SAKERNAS_AGG'!$H$2:$H$301,C96))</x:f>
      </x:c>
      <x:c r="G96" s="307" t="str">
        <x:f>IF(OR(E96="",F96=""),"",E96*F96)</x:f>
      </x:c>
      <x:c r="H96" s="307" t="str">
        <x:f>IF(OR(A96="",B96="",G96=""),"",SUMIFS($G$2:$G$301,$A$2:$A$301,A96,$B$2:$B$301,B96))</x:f>
      </x:c>
      <x:c r="I96" s="308" t="str">
        <x:f>IFERROR(G96/H96,"")</x:f>
      </x:c>
      <x:c r="J96" s="235"/>
      <x:c r="K96" s="235"/>
      <x:c r="L96" s="235"/>
      <x:c r="M96" s="235"/>
      <x:c r="N96" s="315" t="str">
        <x:f>IF(OR(I96="",K96=""),"",100*I96*K96)</x:f>
      </x:c>
      <x:c r="O96" s="308" t="str">
        <x:f>IF(OR(I96="",M96=""),"",I96*M96)</x:f>
      </x:c>
      <x:c r="P96" s="235"/>
      <x:c r="Q96" s="235"/>
      <x:c r="R96" s="235"/>
      <x:c r="S96" s="308" t="str">
        <x:f>IF(OR(A96="",B96=""),"",SUMIFS($I$2:$I$301,$A$2:$A$301,A96,$B$2:$B$301,B96))</x:f>
      </x:c>
      <x:c r="T96" s="233" t="str">
        <x:f>IF(B96="","",IF(ABS(S96-1)&gt;0.000001,"ERROR_SHARE",IF(OR(Q96&lt;&gt;"VERIFIED",R96&lt;&gt;"VERIFIED"),"CHECK_MAPPING","OK")))</x:f>
      </x:c>
      <x:c r="U96" s="297"/>
    </x:row>
    <x:row r="97">
      <x:c r="A97" s="293"/>
      <x:c r="B97" s="235"/>
      <x:c r="C97" s="294"/>
      <x:c r="D97" s="294"/>
      <x:c r="E97" s="314"/>
      <x:c r="F97" s="307" t="str">
        <x:f>IF(OR(A97="",B97="",C97=""),"",SUMIFS('04_SAKERNAS_AGG'!$K$2:$K$301,'04_SAKERNAS_AGG'!$E$2:$E$301,A97,'04_SAKERNAS_AGG'!$F$2:$F$301,B97,'04_SAKERNAS_AGG'!$H$2:$H$301,C97))</x:f>
      </x:c>
      <x:c r="G97" s="307" t="str">
        <x:f>IF(OR(E97="",F97=""),"",E97*F97)</x:f>
      </x:c>
      <x:c r="H97" s="307" t="str">
        <x:f>IF(OR(A97="",B97="",G97=""),"",SUMIFS($G$2:$G$301,$A$2:$A$301,A97,$B$2:$B$301,B97))</x:f>
      </x:c>
      <x:c r="I97" s="308" t="str">
        <x:f>IFERROR(G97/H97,"")</x:f>
      </x:c>
      <x:c r="J97" s="235"/>
      <x:c r="K97" s="235"/>
      <x:c r="L97" s="235"/>
      <x:c r="M97" s="235"/>
      <x:c r="N97" s="315" t="str">
        <x:f>IF(OR(I97="",K97=""),"",100*I97*K97)</x:f>
      </x:c>
      <x:c r="O97" s="308" t="str">
        <x:f>IF(OR(I97="",M97=""),"",I97*M97)</x:f>
      </x:c>
      <x:c r="P97" s="235"/>
      <x:c r="Q97" s="235"/>
      <x:c r="R97" s="235"/>
      <x:c r="S97" s="308" t="str">
        <x:f>IF(OR(A97="",B97=""),"",SUMIFS($I$2:$I$301,$A$2:$A$301,A97,$B$2:$B$301,B97))</x:f>
      </x:c>
      <x:c r="T97" s="233" t="str">
        <x:f>IF(B97="","",IF(ABS(S97-1)&gt;0.000001,"ERROR_SHARE",IF(OR(Q97&lt;&gt;"VERIFIED",R97&lt;&gt;"VERIFIED"),"CHECK_MAPPING","OK")))</x:f>
      </x:c>
      <x:c r="U97" s="297"/>
    </x:row>
    <x:row r="98">
      <x:c r="A98" s="293"/>
      <x:c r="B98" s="235"/>
      <x:c r="C98" s="294"/>
      <x:c r="D98" s="294"/>
      <x:c r="E98" s="314"/>
      <x:c r="F98" s="307" t="str">
        <x:f>IF(OR(A98="",B98="",C98=""),"",SUMIFS('04_SAKERNAS_AGG'!$K$2:$K$301,'04_SAKERNAS_AGG'!$E$2:$E$301,A98,'04_SAKERNAS_AGG'!$F$2:$F$301,B98,'04_SAKERNAS_AGG'!$H$2:$H$301,C98))</x:f>
      </x:c>
      <x:c r="G98" s="307" t="str">
        <x:f>IF(OR(E98="",F98=""),"",E98*F98)</x:f>
      </x:c>
      <x:c r="H98" s="307" t="str">
        <x:f>IF(OR(A98="",B98="",G98=""),"",SUMIFS($G$2:$G$301,$A$2:$A$301,A98,$B$2:$B$301,B98))</x:f>
      </x:c>
      <x:c r="I98" s="308" t="str">
        <x:f>IFERROR(G98/H98,"")</x:f>
      </x:c>
      <x:c r="J98" s="235"/>
      <x:c r="K98" s="235"/>
      <x:c r="L98" s="235"/>
      <x:c r="M98" s="235"/>
      <x:c r="N98" s="315" t="str">
        <x:f>IF(OR(I98="",K98=""),"",100*I98*K98)</x:f>
      </x:c>
      <x:c r="O98" s="308" t="str">
        <x:f>IF(OR(I98="",M98=""),"",I98*M98)</x:f>
      </x:c>
      <x:c r="P98" s="235"/>
      <x:c r="Q98" s="235"/>
      <x:c r="R98" s="235"/>
      <x:c r="S98" s="308" t="str">
        <x:f>IF(OR(A98="",B98=""),"",SUMIFS($I$2:$I$301,$A$2:$A$301,A98,$B$2:$B$301,B98))</x:f>
      </x:c>
      <x:c r="T98" s="233" t="str">
        <x:f>IF(B98="","",IF(ABS(S98-1)&gt;0.000001,"ERROR_SHARE",IF(OR(Q98&lt;&gt;"VERIFIED",R98&lt;&gt;"VERIFIED"),"CHECK_MAPPING","OK")))</x:f>
      </x:c>
      <x:c r="U98" s="297"/>
    </x:row>
    <x:row r="99">
      <x:c r="A99" s="293"/>
      <x:c r="B99" s="235"/>
      <x:c r="C99" s="294"/>
      <x:c r="D99" s="294"/>
      <x:c r="E99" s="314"/>
      <x:c r="F99" s="307" t="str">
        <x:f>IF(OR(A99="",B99="",C99=""),"",SUMIFS('04_SAKERNAS_AGG'!$K$2:$K$301,'04_SAKERNAS_AGG'!$E$2:$E$301,A99,'04_SAKERNAS_AGG'!$F$2:$F$301,B99,'04_SAKERNAS_AGG'!$H$2:$H$301,C99))</x:f>
      </x:c>
      <x:c r="G99" s="307" t="str">
        <x:f>IF(OR(E99="",F99=""),"",E99*F99)</x:f>
      </x:c>
      <x:c r="H99" s="307" t="str">
        <x:f>IF(OR(A99="",B99="",G99=""),"",SUMIFS($G$2:$G$301,$A$2:$A$301,A99,$B$2:$B$301,B99))</x:f>
      </x:c>
      <x:c r="I99" s="308" t="str">
        <x:f>IFERROR(G99/H99,"")</x:f>
      </x:c>
      <x:c r="J99" s="235"/>
      <x:c r="K99" s="235"/>
      <x:c r="L99" s="235"/>
      <x:c r="M99" s="235"/>
      <x:c r="N99" s="315" t="str">
        <x:f>IF(OR(I99="",K99=""),"",100*I99*K99)</x:f>
      </x:c>
      <x:c r="O99" s="308" t="str">
        <x:f>IF(OR(I99="",M99=""),"",I99*M99)</x:f>
      </x:c>
      <x:c r="P99" s="235"/>
      <x:c r="Q99" s="235"/>
      <x:c r="R99" s="235"/>
      <x:c r="S99" s="308" t="str">
        <x:f>IF(OR(A99="",B99=""),"",SUMIFS($I$2:$I$301,$A$2:$A$301,A99,$B$2:$B$301,B99))</x:f>
      </x:c>
      <x:c r="T99" s="233" t="str">
        <x:f>IF(B99="","",IF(ABS(S99-1)&gt;0.000001,"ERROR_SHARE",IF(OR(Q99&lt;&gt;"VERIFIED",R99&lt;&gt;"VERIFIED"),"CHECK_MAPPING","OK")))</x:f>
      </x:c>
      <x:c r="U99" s="297"/>
    </x:row>
    <x:row r="100">
      <x:c r="A100" s="293"/>
      <x:c r="B100" s="235"/>
      <x:c r="C100" s="294"/>
      <x:c r="D100" s="294"/>
      <x:c r="E100" s="314"/>
      <x:c r="F100" s="307" t="str">
        <x:f>IF(OR(A100="",B100="",C100=""),"",SUMIFS('04_SAKERNAS_AGG'!$K$2:$K$301,'04_SAKERNAS_AGG'!$E$2:$E$301,A100,'04_SAKERNAS_AGG'!$F$2:$F$301,B100,'04_SAKERNAS_AGG'!$H$2:$H$301,C100))</x:f>
      </x:c>
      <x:c r="G100" s="307" t="str">
        <x:f>IF(OR(E100="",F100=""),"",E100*F100)</x:f>
      </x:c>
      <x:c r="H100" s="307" t="str">
        <x:f>IF(OR(A100="",B100="",G100=""),"",SUMIFS($G$2:$G$301,$A$2:$A$301,A100,$B$2:$B$301,B100))</x:f>
      </x:c>
      <x:c r="I100" s="308" t="str">
        <x:f>IFERROR(G100/H100,"")</x:f>
      </x:c>
      <x:c r="J100" s="235"/>
      <x:c r="K100" s="235"/>
      <x:c r="L100" s="235"/>
      <x:c r="M100" s="235"/>
      <x:c r="N100" s="315" t="str">
        <x:f>IF(OR(I100="",K100=""),"",100*I100*K100)</x:f>
      </x:c>
      <x:c r="O100" s="308" t="str">
        <x:f>IF(OR(I100="",M100=""),"",I100*M100)</x:f>
      </x:c>
      <x:c r="P100" s="235"/>
      <x:c r="Q100" s="235"/>
      <x:c r="R100" s="235"/>
      <x:c r="S100" s="308" t="str">
        <x:f>IF(OR(A100="",B100=""),"",SUMIFS($I$2:$I$301,$A$2:$A$301,A100,$B$2:$B$301,B100))</x:f>
      </x:c>
      <x:c r="T100" s="233" t="str">
        <x:f>IF(B100="","",IF(ABS(S100-1)&gt;0.000001,"ERROR_SHARE",IF(OR(Q100&lt;&gt;"VERIFIED",R100&lt;&gt;"VERIFIED"),"CHECK_MAPPING","OK")))</x:f>
      </x:c>
      <x:c r="U100" s="297"/>
    </x:row>
    <x:row r="101">
      <x:c r="A101" s="293"/>
      <x:c r="B101" s="235"/>
      <x:c r="C101" s="294"/>
      <x:c r="D101" s="294"/>
      <x:c r="E101" s="314"/>
      <x:c r="F101" s="307" t="str">
        <x:f>IF(OR(A101="",B101="",C101=""),"",SUMIFS('04_SAKERNAS_AGG'!$K$2:$K$301,'04_SAKERNAS_AGG'!$E$2:$E$301,A101,'04_SAKERNAS_AGG'!$F$2:$F$301,B101,'04_SAKERNAS_AGG'!$H$2:$H$301,C101))</x:f>
      </x:c>
      <x:c r="G101" s="307" t="str">
        <x:f>IF(OR(E101="",F101=""),"",E101*F101)</x:f>
      </x:c>
      <x:c r="H101" s="307" t="str">
        <x:f>IF(OR(A101="",B101="",G101=""),"",SUMIFS($G$2:$G$301,$A$2:$A$301,A101,$B$2:$B$301,B101))</x:f>
      </x:c>
      <x:c r="I101" s="308" t="str">
        <x:f>IFERROR(G101/H101,"")</x:f>
      </x:c>
      <x:c r="J101" s="235"/>
      <x:c r="K101" s="235"/>
      <x:c r="L101" s="235"/>
      <x:c r="M101" s="235"/>
      <x:c r="N101" s="315" t="str">
        <x:f>IF(OR(I101="",K101=""),"",100*I101*K101)</x:f>
      </x:c>
      <x:c r="O101" s="308" t="str">
        <x:f>IF(OR(I101="",M101=""),"",I101*M101)</x:f>
      </x:c>
      <x:c r="P101" s="235"/>
      <x:c r="Q101" s="235"/>
      <x:c r="R101" s="235"/>
      <x:c r="S101" s="308" t="str">
        <x:f>IF(OR(A101="",B101=""),"",SUMIFS($I$2:$I$301,$A$2:$A$301,A101,$B$2:$B$301,B101))</x:f>
      </x:c>
      <x:c r="T101" s="233" t="str">
        <x:f>IF(B101="","",IF(ABS(S101-1)&gt;0.000001,"ERROR_SHARE",IF(OR(Q101&lt;&gt;"VERIFIED",R101&lt;&gt;"VERIFIED"),"CHECK_MAPPING","OK")))</x:f>
      </x:c>
      <x:c r="U101" s="297"/>
    </x:row>
    <x:row r="102">
      <x:c r="A102" s="293"/>
      <x:c r="B102" s="235"/>
      <x:c r="C102" s="294"/>
      <x:c r="D102" s="294"/>
      <x:c r="E102" s="314"/>
      <x:c r="F102" s="307" t="str">
        <x:f>IF(OR(A102="",B102="",C102=""),"",SUMIFS('04_SAKERNAS_AGG'!$K$2:$K$301,'04_SAKERNAS_AGG'!$E$2:$E$301,A102,'04_SAKERNAS_AGG'!$F$2:$F$301,B102,'04_SAKERNAS_AGG'!$H$2:$H$301,C102))</x:f>
      </x:c>
      <x:c r="G102" s="307" t="str">
        <x:f>IF(OR(E102="",F102=""),"",E102*F102)</x:f>
      </x:c>
      <x:c r="H102" s="307" t="str">
        <x:f>IF(OR(A102="",B102="",G102=""),"",SUMIFS($G$2:$G$301,$A$2:$A$301,A102,$B$2:$B$301,B102))</x:f>
      </x:c>
      <x:c r="I102" s="308" t="str">
        <x:f>IFERROR(G102/H102,"")</x:f>
      </x:c>
      <x:c r="J102" s="235"/>
      <x:c r="K102" s="235"/>
      <x:c r="L102" s="235"/>
      <x:c r="M102" s="235"/>
      <x:c r="N102" s="315" t="str">
        <x:f>IF(OR(I102="",K102=""),"",100*I102*K102)</x:f>
      </x:c>
      <x:c r="O102" s="308" t="str">
        <x:f>IF(OR(I102="",M102=""),"",I102*M102)</x:f>
      </x:c>
      <x:c r="P102" s="235"/>
      <x:c r="Q102" s="235"/>
      <x:c r="R102" s="235"/>
      <x:c r="S102" s="308" t="str">
        <x:f>IF(OR(A102="",B102=""),"",SUMIFS($I$2:$I$301,$A$2:$A$301,A102,$B$2:$B$301,B102))</x:f>
      </x:c>
      <x:c r="T102" s="233" t="str">
        <x:f>IF(B102="","",IF(ABS(S102-1)&gt;0.000001,"ERROR_SHARE",IF(OR(Q102&lt;&gt;"VERIFIED",R102&lt;&gt;"VERIFIED"),"CHECK_MAPPING","OK")))</x:f>
      </x:c>
      <x:c r="U102" s="297"/>
    </x:row>
    <x:row r="103">
      <x:c r="A103" s="293"/>
      <x:c r="B103" s="235"/>
      <x:c r="C103" s="294"/>
      <x:c r="D103" s="294"/>
      <x:c r="E103" s="314"/>
      <x:c r="F103" s="307" t="str">
        <x:f>IF(OR(A103="",B103="",C103=""),"",SUMIFS('04_SAKERNAS_AGG'!$K$2:$K$301,'04_SAKERNAS_AGG'!$E$2:$E$301,A103,'04_SAKERNAS_AGG'!$F$2:$F$301,B103,'04_SAKERNAS_AGG'!$H$2:$H$301,C103))</x:f>
      </x:c>
      <x:c r="G103" s="307" t="str">
        <x:f>IF(OR(E103="",F103=""),"",E103*F103)</x:f>
      </x:c>
      <x:c r="H103" s="307" t="str">
        <x:f>IF(OR(A103="",B103="",G103=""),"",SUMIFS($G$2:$G$301,$A$2:$A$301,A103,$B$2:$B$301,B103))</x:f>
      </x:c>
      <x:c r="I103" s="308" t="str">
        <x:f>IFERROR(G103/H103,"")</x:f>
      </x:c>
      <x:c r="J103" s="235"/>
      <x:c r="K103" s="235"/>
      <x:c r="L103" s="235"/>
      <x:c r="M103" s="235"/>
      <x:c r="N103" s="315" t="str">
        <x:f>IF(OR(I103="",K103=""),"",100*I103*K103)</x:f>
      </x:c>
      <x:c r="O103" s="308" t="str">
        <x:f>IF(OR(I103="",M103=""),"",I103*M103)</x:f>
      </x:c>
      <x:c r="P103" s="235"/>
      <x:c r="Q103" s="235"/>
      <x:c r="R103" s="235"/>
      <x:c r="S103" s="308" t="str">
        <x:f>IF(OR(A103="",B103=""),"",SUMIFS($I$2:$I$301,$A$2:$A$301,A103,$B$2:$B$301,B103))</x:f>
      </x:c>
      <x:c r="T103" s="233" t="str">
        <x:f>IF(B103="","",IF(ABS(S103-1)&gt;0.000001,"ERROR_SHARE",IF(OR(Q103&lt;&gt;"VERIFIED",R103&lt;&gt;"VERIFIED"),"CHECK_MAPPING","OK")))</x:f>
      </x:c>
      <x:c r="U103" s="297"/>
    </x:row>
    <x:row r="104">
      <x:c r="A104" s="293"/>
      <x:c r="B104" s="235"/>
      <x:c r="C104" s="294"/>
      <x:c r="D104" s="294"/>
      <x:c r="E104" s="314"/>
      <x:c r="F104" s="307" t="str">
        <x:f>IF(OR(A104="",B104="",C104=""),"",SUMIFS('04_SAKERNAS_AGG'!$K$2:$K$301,'04_SAKERNAS_AGG'!$E$2:$E$301,A104,'04_SAKERNAS_AGG'!$F$2:$F$301,B104,'04_SAKERNAS_AGG'!$H$2:$H$301,C104))</x:f>
      </x:c>
      <x:c r="G104" s="307" t="str">
        <x:f>IF(OR(E104="",F104=""),"",E104*F104)</x:f>
      </x:c>
      <x:c r="H104" s="307" t="str">
        <x:f>IF(OR(A104="",B104="",G104=""),"",SUMIFS($G$2:$G$301,$A$2:$A$301,A104,$B$2:$B$301,B104))</x:f>
      </x:c>
      <x:c r="I104" s="308" t="str">
        <x:f>IFERROR(G104/H104,"")</x:f>
      </x:c>
      <x:c r="J104" s="235"/>
      <x:c r="K104" s="235"/>
      <x:c r="L104" s="235"/>
      <x:c r="M104" s="235"/>
      <x:c r="N104" s="315" t="str">
        <x:f>IF(OR(I104="",K104=""),"",100*I104*K104)</x:f>
      </x:c>
      <x:c r="O104" s="308" t="str">
        <x:f>IF(OR(I104="",M104=""),"",I104*M104)</x:f>
      </x:c>
      <x:c r="P104" s="235"/>
      <x:c r="Q104" s="235"/>
      <x:c r="R104" s="235"/>
      <x:c r="S104" s="308" t="str">
        <x:f>IF(OR(A104="",B104=""),"",SUMIFS($I$2:$I$301,$A$2:$A$301,A104,$B$2:$B$301,B104))</x:f>
      </x:c>
      <x:c r="T104" s="233" t="str">
        <x:f>IF(B104="","",IF(ABS(S104-1)&gt;0.000001,"ERROR_SHARE",IF(OR(Q104&lt;&gt;"VERIFIED",R104&lt;&gt;"VERIFIED"),"CHECK_MAPPING","OK")))</x:f>
      </x:c>
      <x:c r="U104" s="297"/>
    </x:row>
    <x:row r="105">
      <x:c r="A105" s="293"/>
      <x:c r="B105" s="235"/>
      <x:c r="C105" s="294"/>
      <x:c r="D105" s="294"/>
      <x:c r="E105" s="314"/>
      <x:c r="F105" s="307" t="str">
        <x:f>IF(OR(A105="",B105="",C105=""),"",SUMIFS('04_SAKERNAS_AGG'!$K$2:$K$301,'04_SAKERNAS_AGG'!$E$2:$E$301,A105,'04_SAKERNAS_AGG'!$F$2:$F$301,B105,'04_SAKERNAS_AGG'!$H$2:$H$301,C105))</x:f>
      </x:c>
      <x:c r="G105" s="307" t="str">
        <x:f>IF(OR(E105="",F105=""),"",E105*F105)</x:f>
      </x:c>
      <x:c r="H105" s="307" t="str">
        <x:f>IF(OR(A105="",B105="",G105=""),"",SUMIFS($G$2:$G$301,$A$2:$A$301,A105,$B$2:$B$301,B105))</x:f>
      </x:c>
      <x:c r="I105" s="308" t="str">
        <x:f>IFERROR(G105/H105,"")</x:f>
      </x:c>
      <x:c r="J105" s="235"/>
      <x:c r="K105" s="235"/>
      <x:c r="L105" s="235"/>
      <x:c r="M105" s="235"/>
      <x:c r="N105" s="315" t="str">
        <x:f>IF(OR(I105="",K105=""),"",100*I105*K105)</x:f>
      </x:c>
      <x:c r="O105" s="308" t="str">
        <x:f>IF(OR(I105="",M105=""),"",I105*M105)</x:f>
      </x:c>
      <x:c r="P105" s="235"/>
      <x:c r="Q105" s="235"/>
      <x:c r="R105" s="235"/>
      <x:c r="S105" s="308" t="str">
        <x:f>IF(OR(A105="",B105=""),"",SUMIFS($I$2:$I$301,$A$2:$A$301,A105,$B$2:$B$301,B105))</x:f>
      </x:c>
      <x:c r="T105" s="233" t="str">
        <x:f>IF(B105="","",IF(ABS(S105-1)&gt;0.000001,"ERROR_SHARE",IF(OR(Q105&lt;&gt;"VERIFIED",R105&lt;&gt;"VERIFIED"),"CHECK_MAPPING","OK")))</x:f>
      </x:c>
      <x:c r="U105" s="297"/>
    </x:row>
    <x:row r="106">
      <x:c r="A106" s="293"/>
      <x:c r="B106" s="235"/>
      <x:c r="C106" s="294"/>
      <x:c r="D106" s="294"/>
      <x:c r="E106" s="314"/>
      <x:c r="F106" s="307" t="str">
        <x:f>IF(OR(A106="",B106="",C106=""),"",SUMIFS('04_SAKERNAS_AGG'!$K$2:$K$301,'04_SAKERNAS_AGG'!$E$2:$E$301,A106,'04_SAKERNAS_AGG'!$F$2:$F$301,B106,'04_SAKERNAS_AGG'!$H$2:$H$301,C106))</x:f>
      </x:c>
      <x:c r="G106" s="307" t="str">
        <x:f>IF(OR(E106="",F106=""),"",E106*F106)</x:f>
      </x:c>
      <x:c r="H106" s="307" t="str">
        <x:f>IF(OR(A106="",B106="",G106=""),"",SUMIFS($G$2:$G$301,$A$2:$A$301,A106,$B$2:$B$301,B106))</x:f>
      </x:c>
      <x:c r="I106" s="308" t="str">
        <x:f>IFERROR(G106/H106,"")</x:f>
      </x:c>
      <x:c r="J106" s="235"/>
      <x:c r="K106" s="235"/>
      <x:c r="L106" s="235"/>
      <x:c r="M106" s="235"/>
      <x:c r="N106" s="315" t="str">
        <x:f>IF(OR(I106="",K106=""),"",100*I106*K106)</x:f>
      </x:c>
      <x:c r="O106" s="308" t="str">
        <x:f>IF(OR(I106="",M106=""),"",I106*M106)</x:f>
      </x:c>
      <x:c r="P106" s="235"/>
      <x:c r="Q106" s="235"/>
      <x:c r="R106" s="235"/>
      <x:c r="S106" s="308" t="str">
        <x:f>IF(OR(A106="",B106=""),"",SUMIFS($I$2:$I$301,$A$2:$A$301,A106,$B$2:$B$301,B106))</x:f>
      </x:c>
      <x:c r="T106" s="233" t="str">
        <x:f>IF(B106="","",IF(ABS(S106-1)&gt;0.000001,"ERROR_SHARE",IF(OR(Q106&lt;&gt;"VERIFIED",R106&lt;&gt;"VERIFIED"),"CHECK_MAPPING","OK")))</x:f>
      </x:c>
      <x:c r="U106" s="297"/>
    </x:row>
    <x:row r="107">
      <x:c r="A107" s="293"/>
      <x:c r="B107" s="235"/>
      <x:c r="C107" s="294"/>
      <x:c r="D107" s="294"/>
      <x:c r="E107" s="314"/>
      <x:c r="F107" s="307" t="str">
        <x:f>IF(OR(A107="",B107="",C107=""),"",SUMIFS('04_SAKERNAS_AGG'!$K$2:$K$301,'04_SAKERNAS_AGG'!$E$2:$E$301,A107,'04_SAKERNAS_AGG'!$F$2:$F$301,B107,'04_SAKERNAS_AGG'!$H$2:$H$301,C107))</x:f>
      </x:c>
      <x:c r="G107" s="307" t="str">
        <x:f>IF(OR(E107="",F107=""),"",E107*F107)</x:f>
      </x:c>
      <x:c r="H107" s="307" t="str">
        <x:f>IF(OR(A107="",B107="",G107=""),"",SUMIFS($G$2:$G$301,$A$2:$A$301,A107,$B$2:$B$301,B107))</x:f>
      </x:c>
      <x:c r="I107" s="308" t="str">
        <x:f>IFERROR(G107/H107,"")</x:f>
      </x:c>
      <x:c r="J107" s="235"/>
      <x:c r="K107" s="235"/>
      <x:c r="L107" s="235"/>
      <x:c r="M107" s="235"/>
      <x:c r="N107" s="315" t="str">
        <x:f>IF(OR(I107="",K107=""),"",100*I107*K107)</x:f>
      </x:c>
      <x:c r="O107" s="308" t="str">
        <x:f>IF(OR(I107="",M107=""),"",I107*M107)</x:f>
      </x:c>
      <x:c r="P107" s="235"/>
      <x:c r="Q107" s="235"/>
      <x:c r="R107" s="235"/>
      <x:c r="S107" s="308" t="str">
        <x:f>IF(OR(A107="",B107=""),"",SUMIFS($I$2:$I$301,$A$2:$A$301,A107,$B$2:$B$301,B107))</x:f>
      </x:c>
      <x:c r="T107" s="233" t="str">
        <x:f>IF(B107="","",IF(ABS(S107-1)&gt;0.000001,"ERROR_SHARE",IF(OR(Q107&lt;&gt;"VERIFIED",R107&lt;&gt;"VERIFIED"),"CHECK_MAPPING","OK")))</x:f>
      </x:c>
      <x:c r="U107" s="297"/>
    </x:row>
    <x:row r="108">
      <x:c r="A108" s="293"/>
      <x:c r="B108" s="235"/>
      <x:c r="C108" s="294"/>
      <x:c r="D108" s="294"/>
      <x:c r="E108" s="314"/>
      <x:c r="F108" s="307" t="str">
        <x:f>IF(OR(A108="",B108="",C108=""),"",SUMIFS('04_SAKERNAS_AGG'!$K$2:$K$301,'04_SAKERNAS_AGG'!$E$2:$E$301,A108,'04_SAKERNAS_AGG'!$F$2:$F$301,B108,'04_SAKERNAS_AGG'!$H$2:$H$301,C108))</x:f>
      </x:c>
      <x:c r="G108" s="307" t="str">
        <x:f>IF(OR(E108="",F108=""),"",E108*F108)</x:f>
      </x:c>
      <x:c r="H108" s="307" t="str">
        <x:f>IF(OR(A108="",B108="",G108=""),"",SUMIFS($G$2:$G$301,$A$2:$A$301,A108,$B$2:$B$301,B108))</x:f>
      </x:c>
      <x:c r="I108" s="308" t="str">
        <x:f>IFERROR(G108/H108,"")</x:f>
      </x:c>
      <x:c r="J108" s="235"/>
      <x:c r="K108" s="235"/>
      <x:c r="L108" s="235"/>
      <x:c r="M108" s="235"/>
      <x:c r="N108" s="315" t="str">
        <x:f>IF(OR(I108="",K108=""),"",100*I108*K108)</x:f>
      </x:c>
      <x:c r="O108" s="308" t="str">
        <x:f>IF(OR(I108="",M108=""),"",I108*M108)</x:f>
      </x:c>
      <x:c r="P108" s="235"/>
      <x:c r="Q108" s="235"/>
      <x:c r="R108" s="235"/>
      <x:c r="S108" s="308" t="str">
        <x:f>IF(OR(A108="",B108=""),"",SUMIFS($I$2:$I$301,$A$2:$A$301,A108,$B$2:$B$301,B108))</x:f>
      </x:c>
      <x:c r="T108" s="233" t="str">
        <x:f>IF(B108="","",IF(ABS(S108-1)&gt;0.000001,"ERROR_SHARE",IF(OR(Q108&lt;&gt;"VERIFIED",R108&lt;&gt;"VERIFIED"),"CHECK_MAPPING","OK")))</x:f>
      </x:c>
      <x:c r="U108" s="297"/>
    </x:row>
    <x:row r="109">
      <x:c r="A109" s="293"/>
      <x:c r="B109" s="235"/>
      <x:c r="C109" s="294"/>
      <x:c r="D109" s="294"/>
      <x:c r="E109" s="314"/>
      <x:c r="F109" s="307" t="str">
        <x:f>IF(OR(A109="",B109="",C109=""),"",SUMIFS('04_SAKERNAS_AGG'!$K$2:$K$301,'04_SAKERNAS_AGG'!$E$2:$E$301,A109,'04_SAKERNAS_AGG'!$F$2:$F$301,B109,'04_SAKERNAS_AGG'!$H$2:$H$301,C109))</x:f>
      </x:c>
      <x:c r="G109" s="307" t="str">
        <x:f>IF(OR(E109="",F109=""),"",E109*F109)</x:f>
      </x:c>
      <x:c r="H109" s="307" t="str">
        <x:f>IF(OR(A109="",B109="",G109=""),"",SUMIFS($G$2:$G$301,$A$2:$A$301,A109,$B$2:$B$301,B109))</x:f>
      </x:c>
      <x:c r="I109" s="308" t="str">
        <x:f>IFERROR(G109/H109,"")</x:f>
      </x:c>
      <x:c r="J109" s="235"/>
      <x:c r="K109" s="235"/>
      <x:c r="L109" s="235"/>
      <x:c r="M109" s="235"/>
      <x:c r="N109" s="315" t="str">
        <x:f>IF(OR(I109="",K109=""),"",100*I109*K109)</x:f>
      </x:c>
      <x:c r="O109" s="308" t="str">
        <x:f>IF(OR(I109="",M109=""),"",I109*M109)</x:f>
      </x:c>
      <x:c r="P109" s="235"/>
      <x:c r="Q109" s="235"/>
      <x:c r="R109" s="235"/>
      <x:c r="S109" s="308" t="str">
        <x:f>IF(OR(A109="",B109=""),"",SUMIFS($I$2:$I$301,$A$2:$A$301,A109,$B$2:$B$301,B109))</x:f>
      </x:c>
      <x:c r="T109" s="233" t="str">
        <x:f>IF(B109="","",IF(ABS(S109-1)&gt;0.000001,"ERROR_SHARE",IF(OR(Q109&lt;&gt;"VERIFIED",R109&lt;&gt;"VERIFIED"),"CHECK_MAPPING","OK")))</x:f>
      </x:c>
      <x:c r="U109" s="297"/>
    </x:row>
    <x:row r="110">
      <x:c r="A110" s="293"/>
      <x:c r="B110" s="235"/>
      <x:c r="C110" s="294"/>
      <x:c r="D110" s="294"/>
      <x:c r="E110" s="314"/>
      <x:c r="F110" s="307" t="str">
        <x:f>IF(OR(A110="",B110="",C110=""),"",SUMIFS('04_SAKERNAS_AGG'!$K$2:$K$301,'04_SAKERNAS_AGG'!$E$2:$E$301,A110,'04_SAKERNAS_AGG'!$F$2:$F$301,B110,'04_SAKERNAS_AGG'!$H$2:$H$301,C110))</x:f>
      </x:c>
      <x:c r="G110" s="307" t="str">
        <x:f>IF(OR(E110="",F110=""),"",E110*F110)</x:f>
      </x:c>
      <x:c r="H110" s="307" t="str">
        <x:f>IF(OR(A110="",B110="",G110=""),"",SUMIFS($G$2:$G$301,$A$2:$A$301,A110,$B$2:$B$301,B110))</x:f>
      </x:c>
      <x:c r="I110" s="308" t="str">
        <x:f>IFERROR(G110/H110,"")</x:f>
      </x:c>
      <x:c r="J110" s="235"/>
      <x:c r="K110" s="235"/>
      <x:c r="L110" s="235"/>
      <x:c r="M110" s="235"/>
      <x:c r="N110" s="315" t="str">
        <x:f>IF(OR(I110="",K110=""),"",100*I110*K110)</x:f>
      </x:c>
      <x:c r="O110" s="308" t="str">
        <x:f>IF(OR(I110="",M110=""),"",I110*M110)</x:f>
      </x:c>
      <x:c r="P110" s="235"/>
      <x:c r="Q110" s="235"/>
      <x:c r="R110" s="235"/>
      <x:c r="S110" s="308" t="str">
        <x:f>IF(OR(A110="",B110=""),"",SUMIFS($I$2:$I$301,$A$2:$A$301,A110,$B$2:$B$301,B110))</x:f>
      </x:c>
      <x:c r="T110" s="233" t="str">
        <x:f>IF(B110="","",IF(ABS(S110-1)&gt;0.000001,"ERROR_SHARE",IF(OR(Q110&lt;&gt;"VERIFIED",R110&lt;&gt;"VERIFIED"),"CHECK_MAPPING","OK")))</x:f>
      </x:c>
      <x:c r="U110" s="297"/>
    </x:row>
    <x:row r="111">
      <x:c r="A111" s="293"/>
      <x:c r="B111" s="235"/>
      <x:c r="C111" s="294"/>
      <x:c r="D111" s="294"/>
      <x:c r="E111" s="314"/>
      <x:c r="F111" s="307" t="str">
        <x:f>IF(OR(A111="",B111="",C111=""),"",SUMIFS('04_SAKERNAS_AGG'!$K$2:$K$301,'04_SAKERNAS_AGG'!$E$2:$E$301,A111,'04_SAKERNAS_AGG'!$F$2:$F$301,B111,'04_SAKERNAS_AGG'!$H$2:$H$301,C111))</x:f>
      </x:c>
      <x:c r="G111" s="307" t="str">
        <x:f>IF(OR(E111="",F111=""),"",E111*F111)</x:f>
      </x:c>
      <x:c r="H111" s="307" t="str">
        <x:f>IF(OR(A111="",B111="",G111=""),"",SUMIFS($G$2:$G$301,$A$2:$A$301,A111,$B$2:$B$301,B111))</x:f>
      </x:c>
      <x:c r="I111" s="308" t="str">
        <x:f>IFERROR(G111/H111,"")</x:f>
      </x:c>
      <x:c r="J111" s="235"/>
      <x:c r="K111" s="235"/>
      <x:c r="L111" s="235"/>
      <x:c r="M111" s="235"/>
      <x:c r="N111" s="315" t="str">
        <x:f>IF(OR(I111="",K111=""),"",100*I111*K111)</x:f>
      </x:c>
      <x:c r="O111" s="308" t="str">
        <x:f>IF(OR(I111="",M111=""),"",I111*M111)</x:f>
      </x:c>
      <x:c r="P111" s="235"/>
      <x:c r="Q111" s="235"/>
      <x:c r="R111" s="235"/>
      <x:c r="S111" s="308" t="str">
        <x:f>IF(OR(A111="",B111=""),"",SUMIFS($I$2:$I$301,$A$2:$A$301,A111,$B$2:$B$301,B111))</x:f>
      </x:c>
      <x:c r="T111" s="233" t="str">
        <x:f>IF(B111="","",IF(ABS(S111-1)&gt;0.000001,"ERROR_SHARE",IF(OR(Q111&lt;&gt;"VERIFIED",R111&lt;&gt;"VERIFIED"),"CHECK_MAPPING","OK")))</x:f>
      </x:c>
      <x:c r="U111" s="297"/>
    </x:row>
    <x:row r="112">
      <x:c r="A112" s="293"/>
      <x:c r="B112" s="235"/>
      <x:c r="C112" s="294"/>
      <x:c r="D112" s="294"/>
      <x:c r="E112" s="314"/>
      <x:c r="F112" s="307" t="str">
        <x:f>IF(OR(A112="",B112="",C112=""),"",SUMIFS('04_SAKERNAS_AGG'!$K$2:$K$301,'04_SAKERNAS_AGG'!$E$2:$E$301,A112,'04_SAKERNAS_AGG'!$F$2:$F$301,B112,'04_SAKERNAS_AGG'!$H$2:$H$301,C112))</x:f>
      </x:c>
      <x:c r="G112" s="307" t="str">
        <x:f>IF(OR(E112="",F112=""),"",E112*F112)</x:f>
      </x:c>
      <x:c r="H112" s="307" t="str">
        <x:f>IF(OR(A112="",B112="",G112=""),"",SUMIFS($G$2:$G$301,$A$2:$A$301,A112,$B$2:$B$301,B112))</x:f>
      </x:c>
      <x:c r="I112" s="308" t="str">
        <x:f>IFERROR(G112/H112,"")</x:f>
      </x:c>
      <x:c r="J112" s="235"/>
      <x:c r="K112" s="235"/>
      <x:c r="L112" s="235"/>
      <x:c r="M112" s="235"/>
      <x:c r="N112" s="315" t="str">
        <x:f>IF(OR(I112="",K112=""),"",100*I112*K112)</x:f>
      </x:c>
      <x:c r="O112" s="308" t="str">
        <x:f>IF(OR(I112="",M112=""),"",I112*M112)</x:f>
      </x:c>
      <x:c r="P112" s="235"/>
      <x:c r="Q112" s="235"/>
      <x:c r="R112" s="235"/>
      <x:c r="S112" s="308" t="str">
        <x:f>IF(OR(A112="",B112=""),"",SUMIFS($I$2:$I$301,$A$2:$A$301,A112,$B$2:$B$301,B112))</x:f>
      </x:c>
      <x:c r="T112" s="233" t="str">
        <x:f>IF(B112="","",IF(ABS(S112-1)&gt;0.000001,"ERROR_SHARE",IF(OR(Q112&lt;&gt;"VERIFIED",R112&lt;&gt;"VERIFIED"),"CHECK_MAPPING","OK")))</x:f>
      </x:c>
      <x:c r="U112" s="297"/>
    </x:row>
    <x:row r="113">
      <x:c r="A113" s="293"/>
      <x:c r="B113" s="235"/>
      <x:c r="C113" s="294"/>
      <x:c r="D113" s="294"/>
      <x:c r="E113" s="314"/>
      <x:c r="F113" s="307" t="str">
        <x:f>IF(OR(A113="",B113="",C113=""),"",SUMIFS('04_SAKERNAS_AGG'!$K$2:$K$301,'04_SAKERNAS_AGG'!$E$2:$E$301,A113,'04_SAKERNAS_AGG'!$F$2:$F$301,B113,'04_SAKERNAS_AGG'!$H$2:$H$301,C113))</x:f>
      </x:c>
      <x:c r="G113" s="307" t="str">
        <x:f>IF(OR(E113="",F113=""),"",E113*F113)</x:f>
      </x:c>
      <x:c r="H113" s="307" t="str">
        <x:f>IF(OR(A113="",B113="",G113=""),"",SUMIFS($G$2:$G$301,$A$2:$A$301,A113,$B$2:$B$301,B113))</x:f>
      </x:c>
      <x:c r="I113" s="308" t="str">
        <x:f>IFERROR(G113/H113,"")</x:f>
      </x:c>
      <x:c r="J113" s="235"/>
      <x:c r="K113" s="235"/>
      <x:c r="L113" s="235"/>
      <x:c r="M113" s="235"/>
      <x:c r="N113" s="315" t="str">
        <x:f>IF(OR(I113="",K113=""),"",100*I113*K113)</x:f>
      </x:c>
      <x:c r="O113" s="308" t="str">
        <x:f>IF(OR(I113="",M113=""),"",I113*M113)</x:f>
      </x:c>
      <x:c r="P113" s="235"/>
      <x:c r="Q113" s="235"/>
      <x:c r="R113" s="235"/>
      <x:c r="S113" s="308" t="str">
        <x:f>IF(OR(A113="",B113=""),"",SUMIFS($I$2:$I$301,$A$2:$A$301,A113,$B$2:$B$301,B113))</x:f>
      </x:c>
      <x:c r="T113" s="233" t="str">
        <x:f>IF(B113="","",IF(ABS(S113-1)&gt;0.000001,"ERROR_SHARE",IF(OR(Q113&lt;&gt;"VERIFIED",R113&lt;&gt;"VERIFIED"),"CHECK_MAPPING","OK")))</x:f>
      </x:c>
      <x:c r="U113" s="297"/>
    </x:row>
    <x:row r="114">
      <x:c r="A114" s="293"/>
      <x:c r="B114" s="235"/>
      <x:c r="C114" s="294"/>
      <x:c r="D114" s="294"/>
      <x:c r="E114" s="314"/>
      <x:c r="F114" s="307" t="str">
        <x:f>IF(OR(A114="",B114="",C114=""),"",SUMIFS('04_SAKERNAS_AGG'!$K$2:$K$301,'04_SAKERNAS_AGG'!$E$2:$E$301,A114,'04_SAKERNAS_AGG'!$F$2:$F$301,B114,'04_SAKERNAS_AGG'!$H$2:$H$301,C114))</x:f>
      </x:c>
      <x:c r="G114" s="307" t="str">
        <x:f>IF(OR(E114="",F114=""),"",E114*F114)</x:f>
      </x:c>
      <x:c r="H114" s="307" t="str">
        <x:f>IF(OR(A114="",B114="",G114=""),"",SUMIFS($G$2:$G$301,$A$2:$A$301,A114,$B$2:$B$301,B114))</x:f>
      </x:c>
      <x:c r="I114" s="308" t="str">
        <x:f>IFERROR(G114/H114,"")</x:f>
      </x:c>
      <x:c r="J114" s="235"/>
      <x:c r="K114" s="235"/>
      <x:c r="L114" s="235"/>
      <x:c r="M114" s="235"/>
      <x:c r="N114" s="315" t="str">
        <x:f>IF(OR(I114="",K114=""),"",100*I114*K114)</x:f>
      </x:c>
      <x:c r="O114" s="308" t="str">
        <x:f>IF(OR(I114="",M114=""),"",I114*M114)</x:f>
      </x:c>
      <x:c r="P114" s="235"/>
      <x:c r="Q114" s="235"/>
      <x:c r="R114" s="235"/>
      <x:c r="S114" s="308" t="str">
        <x:f>IF(OR(A114="",B114=""),"",SUMIFS($I$2:$I$301,$A$2:$A$301,A114,$B$2:$B$301,B114))</x:f>
      </x:c>
      <x:c r="T114" s="233" t="str">
        <x:f>IF(B114="","",IF(ABS(S114-1)&gt;0.000001,"ERROR_SHARE",IF(OR(Q114&lt;&gt;"VERIFIED",R114&lt;&gt;"VERIFIED"),"CHECK_MAPPING","OK")))</x:f>
      </x:c>
      <x:c r="U114" s="297"/>
    </x:row>
    <x:row r="115">
      <x:c r="A115" s="293"/>
      <x:c r="B115" s="235"/>
      <x:c r="C115" s="294"/>
      <x:c r="D115" s="294"/>
      <x:c r="E115" s="314"/>
      <x:c r="F115" s="307" t="str">
        <x:f>IF(OR(A115="",B115="",C115=""),"",SUMIFS('04_SAKERNAS_AGG'!$K$2:$K$301,'04_SAKERNAS_AGG'!$E$2:$E$301,A115,'04_SAKERNAS_AGG'!$F$2:$F$301,B115,'04_SAKERNAS_AGG'!$H$2:$H$301,C115))</x:f>
      </x:c>
      <x:c r="G115" s="307" t="str">
        <x:f>IF(OR(E115="",F115=""),"",E115*F115)</x:f>
      </x:c>
      <x:c r="H115" s="307" t="str">
        <x:f>IF(OR(A115="",B115="",G115=""),"",SUMIFS($G$2:$G$301,$A$2:$A$301,A115,$B$2:$B$301,B115))</x:f>
      </x:c>
      <x:c r="I115" s="308" t="str">
        <x:f>IFERROR(G115/H115,"")</x:f>
      </x:c>
      <x:c r="J115" s="235"/>
      <x:c r="K115" s="235"/>
      <x:c r="L115" s="235"/>
      <x:c r="M115" s="235"/>
      <x:c r="N115" s="315" t="str">
        <x:f>IF(OR(I115="",K115=""),"",100*I115*K115)</x:f>
      </x:c>
      <x:c r="O115" s="308" t="str">
        <x:f>IF(OR(I115="",M115=""),"",I115*M115)</x:f>
      </x:c>
      <x:c r="P115" s="235"/>
      <x:c r="Q115" s="235"/>
      <x:c r="R115" s="235"/>
      <x:c r="S115" s="308" t="str">
        <x:f>IF(OR(A115="",B115=""),"",SUMIFS($I$2:$I$301,$A$2:$A$301,A115,$B$2:$B$301,B115))</x:f>
      </x:c>
      <x:c r="T115" s="233" t="str">
        <x:f>IF(B115="","",IF(ABS(S115-1)&gt;0.000001,"ERROR_SHARE",IF(OR(Q115&lt;&gt;"VERIFIED",R115&lt;&gt;"VERIFIED"),"CHECK_MAPPING","OK")))</x:f>
      </x:c>
      <x:c r="U115" s="297"/>
    </x:row>
    <x:row r="116">
      <x:c r="A116" s="293"/>
      <x:c r="B116" s="235"/>
      <x:c r="C116" s="294"/>
      <x:c r="D116" s="294"/>
      <x:c r="E116" s="314"/>
      <x:c r="F116" s="307" t="str">
        <x:f>IF(OR(A116="",B116="",C116=""),"",SUMIFS('04_SAKERNAS_AGG'!$K$2:$K$301,'04_SAKERNAS_AGG'!$E$2:$E$301,A116,'04_SAKERNAS_AGG'!$F$2:$F$301,B116,'04_SAKERNAS_AGG'!$H$2:$H$301,C116))</x:f>
      </x:c>
      <x:c r="G116" s="307" t="str">
        <x:f>IF(OR(E116="",F116=""),"",E116*F116)</x:f>
      </x:c>
      <x:c r="H116" s="307" t="str">
        <x:f>IF(OR(A116="",B116="",G116=""),"",SUMIFS($G$2:$G$301,$A$2:$A$301,A116,$B$2:$B$301,B116))</x:f>
      </x:c>
      <x:c r="I116" s="308" t="str">
        <x:f>IFERROR(G116/H116,"")</x:f>
      </x:c>
      <x:c r="J116" s="235"/>
      <x:c r="K116" s="235"/>
      <x:c r="L116" s="235"/>
      <x:c r="M116" s="235"/>
      <x:c r="N116" s="315" t="str">
        <x:f>IF(OR(I116="",K116=""),"",100*I116*K116)</x:f>
      </x:c>
      <x:c r="O116" s="308" t="str">
        <x:f>IF(OR(I116="",M116=""),"",I116*M116)</x:f>
      </x:c>
      <x:c r="P116" s="235"/>
      <x:c r="Q116" s="235"/>
      <x:c r="R116" s="235"/>
      <x:c r="S116" s="308" t="str">
        <x:f>IF(OR(A116="",B116=""),"",SUMIFS($I$2:$I$301,$A$2:$A$301,A116,$B$2:$B$301,B116))</x:f>
      </x:c>
      <x:c r="T116" s="233" t="str">
        <x:f>IF(B116="","",IF(ABS(S116-1)&gt;0.000001,"ERROR_SHARE",IF(OR(Q116&lt;&gt;"VERIFIED",R116&lt;&gt;"VERIFIED"),"CHECK_MAPPING","OK")))</x:f>
      </x:c>
      <x:c r="U116" s="297"/>
    </x:row>
    <x:row r="117">
      <x:c r="A117" s="293"/>
      <x:c r="B117" s="235"/>
      <x:c r="C117" s="294"/>
      <x:c r="D117" s="294"/>
      <x:c r="E117" s="314"/>
      <x:c r="F117" s="307" t="str">
        <x:f>IF(OR(A117="",B117="",C117=""),"",SUMIFS('04_SAKERNAS_AGG'!$K$2:$K$301,'04_SAKERNAS_AGG'!$E$2:$E$301,A117,'04_SAKERNAS_AGG'!$F$2:$F$301,B117,'04_SAKERNAS_AGG'!$H$2:$H$301,C117))</x:f>
      </x:c>
      <x:c r="G117" s="307" t="str">
        <x:f>IF(OR(E117="",F117=""),"",E117*F117)</x:f>
      </x:c>
      <x:c r="H117" s="307" t="str">
        <x:f>IF(OR(A117="",B117="",G117=""),"",SUMIFS($G$2:$G$301,$A$2:$A$301,A117,$B$2:$B$301,B117))</x:f>
      </x:c>
      <x:c r="I117" s="308" t="str">
        <x:f>IFERROR(G117/H117,"")</x:f>
      </x:c>
      <x:c r="J117" s="235"/>
      <x:c r="K117" s="235"/>
      <x:c r="L117" s="235"/>
      <x:c r="M117" s="235"/>
      <x:c r="N117" s="315" t="str">
        <x:f>IF(OR(I117="",K117=""),"",100*I117*K117)</x:f>
      </x:c>
      <x:c r="O117" s="308" t="str">
        <x:f>IF(OR(I117="",M117=""),"",I117*M117)</x:f>
      </x:c>
      <x:c r="P117" s="235"/>
      <x:c r="Q117" s="235"/>
      <x:c r="R117" s="235"/>
      <x:c r="S117" s="308" t="str">
        <x:f>IF(OR(A117="",B117=""),"",SUMIFS($I$2:$I$301,$A$2:$A$301,A117,$B$2:$B$301,B117))</x:f>
      </x:c>
      <x:c r="T117" s="233" t="str">
        <x:f>IF(B117="","",IF(ABS(S117-1)&gt;0.000001,"ERROR_SHARE",IF(OR(Q117&lt;&gt;"VERIFIED",R117&lt;&gt;"VERIFIED"),"CHECK_MAPPING","OK")))</x:f>
      </x:c>
      <x:c r="U117" s="297"/>
    </x:row>
    <x:row r="118">
      <x:c r="A118" s="293"/>
      <x:c r="B118" s="235"/>
      <x:c r="C118" s="294"/>
      <x:c r="D118" s="294"/>
      <x:c r="E118" s="314"/>
      <x:c r="F118" s="307" t="str">
        <x:f>IF(OR(A118="",B118="",C118=""),"",SUMIFS('04_SAKERNAS_AGG'!$K$2:$K$301,'04_SAKERNAS_AGG'!$E$2:$E$301,A118,'04_SAKERNAS_AGG'!$F$2:$F$301,B118,'04_SAKERNAS_AGG'!$H$2:$H$301,C118))</x:f>
      </x:c>
      <x:c r="G118" s="307" t="str">
        <x:f>IF(OR(E118="",F118=""),"",E118*F118)</x:f>
      </x:c>
      <x:c r="H118" s="307" t="str">
        <x:f>IF(OR(A118="",B118="",G118=""),"",SUMIFS($G$2:$G$301,$A$2:$A$301,A118,$B$2:$B$301,B118))</x:f>
      </x:c>
      <x:c r="I118" s="308" t="str">
        <x:f>IFERROR(G118/H118,"")</x:f>
      </x:c>
      <x:c r="J118" s="235"/>
      <x:c r="K118" s="235"/>
      <x:c r="L118" s="235"/>
      <x:c r="M118" s="235"/>
      <x:c r="N118" s="315" t="str">
        <x:f>IF(OR(I118="",K118=""),"",100*I118*K118)</x:f>
      </x:c>
      <x:c r="O118" s="308" t="str">
        <x:f>IF(OR(I118="",M118=""),"",I118*M118)</x:f>
      </x:c>
      <x:c r="P118" s="235"/>
      <x:c r="Q118" s="235"/>
      <x:c r="R118" s="235"/>
      <x:c r="S118" s="308" t="str">
        <x:f>IF(OR(A118="",B118=""),"",SUMIFS($I$2:$I$301,$A$2:$A$301,A118,$B$2:$B$301,B118))</x:f>
      </x:c>
      <x:c r="T118" s="233" t="str">
        <x:f>IF(B118="","",IF(ABS(S118-1)&gt;0.000001,"ERROR_SHARE",IF(OR(Q118&lt;&gt;"VERIFIED",R118&lt;&gt;"VERIFIED"),"CHECK_MAPPING","OK")))</x:f>
      </x:c>
      <x:c r="U118" s="297"/>
    </x:row>
    <x:row r="119">
      <x:c r="A119" s="293"/>
      <x:c r="B119" s="235"/>
      <x:c r="C119" s="294"/>
      <x:c r="D119" s="294"/>
      <x:c r="E119" s="314"/>
      <x:c r="F119" s="307" t="str">
        <x:f>IF(OR(A119="",B119="",C119=""),"",SUMIFS('04_SAKERNAS_AGG'!$K$2:$K$301,'04_SAKERNAS_AGG'!$E$2:$E$301,A119,'04_SAKERNAS_AGG'!$F$2:$F$301,B119,'04_SAKERNAS_AGG'!$H$2:$H$301,C119))</x:f>
      </x:c>
      <x:c r="G119" s="307" t="str">
        <x:f>IF(OR(E119="",F119=""),"",E119*F119)</x:f>
      </x:c>
      <x:c r="H119" s="307" t="str">
        <x:f>IF(OR(A119="",B119="",G119=""),"",SUMIFS($G$2:$G$301,$A$2:$A$301,A119,$B$2:$B$301,B119))</x:f>
      </x:c>
      <x:c r="I119" s="308" t="str">
        <x:f>IFERROR(G119/H119,"")</x:f>
      </x:c>
      <x:c r="J119" s="235"/>
      <x:c r="K119" s="235"/>
      <x:c r="L119" s="235"/>
      <x:c r="M119" s="235"/>
      <x:c r="N119" s="315" t="str">
        <x:f>IF(OR(I119="",K119=""),"",100*I119*K119)</x:f>
      </x:c>
      <x:c r="O119" s="308" t="str">
        <x:f>IF(OR(I119="",M119=""),"",I119*M119)</x:f>
      </x:c>
      <x:c r="P119" s="235"/>
      <x:c r="Q119" s="235"/>
      <x:c r="R119" s="235"/>
      <x:c r="S119" s="308" t="str">
        <x:f>IF(OR(A119="",B119=""),"",SUMIFS($I$2:$I$301,$A$2:$A$301,A119,$B$2:$B$301,B119))</x:f>
      </x:c>
      <x:c r="T119" s="233" t="str">
        <x:f>IF(B119="","",IF(ABS(S119-1)&gt;0.000001,"ERROR_SHARE",IF(OR(Q119&lt;&gt;"VERIFIED",R119&lt;&gt;"VERIFIED"),"CHECK_MAPPING","OK")))</x:f>
      </x:c>
      <x:c r="U119" s="297"/>
    </x:row>
    <x:row r="120">
      <x:c r="A120" s="293"/>
      <x:c r="B120" s="235"/>
      <x:c r="C120" s="294"/>
      <x:c r="D120" s="294"/>
      <x:c r="E120" s="314"/>
      <x:c r="F120" s="307" t="str">
        <x:f>IF(OR(A120="",B120="",C120=""),"",SUMIFS('04_SAKERNAS_AGG'!$K$2:$K$301,'04_SAKERNAS_AGG'!$E$2:$E$301,A120,'04_SAKERNAS_AGG'!$F$2:$F$301,B120,'04_SAKERNAS_AGG'!$H$2:$H$301,C120))</x:f>
      </x:c>
      <x:c r="G120" s="307" t="str">
        <x:f>IF(OR(E120="",F120=""),"",E120*F120)</x:f>
      </x:c>
      <x:c r="H120" s="307" t="str">
        <x:f>IF(OR(A120="",B120="",G120=""),"",SUMIFS($G$2:$G$301,$A$2:$A$301,A120,$B$2:$B$301,B120))</x:f>
      </x:c>
      <x:c r="I120" s="308" t="str">
        <x:f>IFERROR(G120/H120,"")</x:f>
      </x:c>
      <x:c r="J120" s="235"/>
      <x:c r="K120" s="235"/>
      <x:c r="L120" s="235"/>
      <x:c r="M120" s="235"/>
      <x:c r="N120" s="315" t="str">
        <x:f>IF(OR(I120="",K120=""),"",100*I120*K120)</x:f>
      </x:c>
      <x:c r="O120" s="308" t="str">
        <x:f>IF(OR(I120="",M120=""),"",I120*M120)</x:f>
      </x:c>
      <x:c r="P120" s="235"/>
      <x:c r="Q120" s="235"/>
      <x:c r="R120" s="235"/>
      <x:c r="S120" s="308" t="str">
        <x:f>IF(OR(A120="",B120=""),"",SUMIFS($I$2:$I$301,$A$2:$A$301,A120,$B$2:$B$301,B120))</x:f>
      </x:c>
      <x:c r="T120" s="233" t="str">
        <x:f>IF(B120="","",IF(ABS(S120-1)&gt;0.000001,"ERROR_SHARE",IF(OR(Q120&lt;&gt;"VERIFIED",R120&lt;&gt;"VERIFIED"),"CHECK_MAPPING","OK")))</x:f>
      </x:c>
      <x:c r="U120" s="297"/>
    </x:row>
    <x:row r="121">
      <x:c r="A121" s="293"/>
      <x:c r="B121" s="235"/>
      <x:c r="C121" s="294"/>
      <x:c r="D121" s="294"/>
      <x:c r="E121" s="314"/>
      <x:c r="F121" s="307" t="str">
        <x:f>IF(OR(A121="",B121="",C121=""),"",SUMIFS('04_SAKERNAS_AGG'!$K$2:$K$301,'04_SAKERNAS_AGG'!$E$2:$E$301,A121,'04_SAKERNAS_AGG'!$F$2:$F$301,B121,'04_SAKERNAS_AGG'!$H$2:$H$301,C121))</x:f>
      </x:c>
      <x:c r="G121" s="307" t="str">
        <x:f>IF(OR(E121="",F121=""),"",E121*F121)</x:f>
      </x:c>
      <x:c r="H121" s="307" t="str">
        <x:f>IF(OR(A121="",B121="",G121=""),"",SUMIFS($G$2:$G$301,$A$2:$A$301,A121,$B$2:$B$301,B121))</x:f>
      </x:c>
      <x:c r="I121" s="308" t="str">
        <x:f>IFERROR(G121/H121,"")</x:f>
      </x:c>
      <x:c r="J121" s="235"/>
      <x:c r="K121" s="235"/>
      <x:c r="L121" s="235"/>
      <x:c r="M121" s="235"/>
      <x:c r="N121" s="315" t="str">
        <x:f>IF(OR(I121="",K121=""),"",100*I121*K121)</x:f>
      </x:c>
      <x:c r="O121" s="308" t="str">
        <x:f>IF(OR(I121="",M121=""),"",I121*M121)</x:f>
      </x:c>
      <x:c r="P121" s="235"/>
      <x:c r="Q121" s="235"/>
      <x:c r="R121" s="235"/>
      <x:c r="S121" s="308" t="str">
        <x:f>IF(OR(A121="",B121=""),"",SUMIFS($I$2:$I$301,$A$2:$A$301,A121,$B$2:$B$301,B121))</x:f>
      </x:c>
      <x:c r="T121" s="233" t="str">
        <x:f>IF(B121="","",IF(ABS(S121-1)&gt;0.000001,"ERROR_SHARE",IF(OR(Q121&lt;&gt;"VERIFIED",R121&lt;&gt;"VERIFIED"),"CHECK_MAPPING","OK")))</x:f>
      </x:c>
      <x:c r="U121" s="297"/>
    </x:row>
    <x:row r="122">
      <x:c r="A122" s="293"/>
      <x:c r="B122" s="235"/>
      <x:c r="C122" s="294"/>
      <x:c r="D122" s="294"/>
      <x:c r="E122" s="314"/>
      <x:c r="F122" s="307" t="str">
        <x:f>IF(OR(A122="",B122="",C122=""),"",SUMIFS('04_SAKERNAS_AGG'!$K$2:$K$301,'04_SAKERNAS_AGG'!$E$2:$E$301,A122,'04_SAKERNAS_AGG'!$F$2:$F$301,B122,'04_SAKERNAS_AGG'!$H$2:$H$301,C122))</x:f>
      </x:c>
      <x:c r="G122" s="307" t="str">
        <x:f>IF(OR(E122="",F122=""),"",E122*F122)</x:f>
      </x:c>
      <x:c r="H122" s="307" t="str">
        <x:f>IF(OR(A122="",B122="",G122=""),"",SUMIFS($G$2:$G$301,$A$2:$A$301,A122,$B$2:$B$301,B122))</x:f>
      </x:c>
      <x:c r="I122" s="308" t="str">
        <x:f>IFERROR(G122/H122,"")</x:f>
      </x:c>
      <x:c r="J122" s="235"/>
      <x:c r="K122" s="235"/>
      <x:c r="L122" s="235"/>
      <x:c r="M122" s="235"/>
      <x:c r="N122" s="315" t="str">
        <x:f>IF(OR(I122="",K122=""),"",100*I122*K122)</x:f>
      </x:c>
      <x:c r="O122" s="308" t="str">
        <x:f>IF(OR(I122="",M122=""),"",I122*M122)</x:f>
      </x:c>
      <x:c r="P122" s="235"/>
      <x:c r="Q122" s="235"/>
      <x:c r="R122" s="235"/>
      <x:c r="S122" s="308" t="str">
        <x:f>IF(OR(A122="",B122=""),"",SUMIFS($I$2:$I$301,$A$2:$A$301,A122,$B$2:$B$301,B122))</x:f>
      </x:c>
      <x:c r="T122" s="233" t="str">
        <x:f>IF(B122="","",IF(ABS(S122-1)&gt;0.000001,"ERROR_SHARE",IF(OR(Q122&lt;&gt;"VERIFIED",R122&lt;&gt;"VERIFIED"),"CHECK_MAPPING","OK")))</x:f>
      </x:c>
      <x:c r="U122" s="297"/>
    </x:row>
    <x:row r="123">
      <x:c r="A123" s="293"/>
      <x:c r="B123" s="235"/>
      <x:c r="C123" s="294"/>
      <x:c r="D123" s="294"/>
      <x:c r="E123" s="314"/>
      <x:c r="F123" s="307" t="str">
        <x:f>IF(OR(A123="",B123="",C123=""),"",SUMIFS('04_SAKERNAS_AGG'!$K$2:$K$301,'04_SAKERNAS_AGG'!$E$2:$E$301,A123,'04_SAKERNAS_AGG'!$F$2:$F$301,B123,'04_SAKERNAS_AGG'!$H$2:$H$301,C123))</x:f>
      </x:c>
      <x:c r="G123" s="307" t="str">
        <x:f>IF(OR(E123="",F123=""),"",E123*F123)</x:f>
      </x:c>
      <x:c r="H123" s="307" t="str">
        <x:f>IF(OR(A123="",B123="",G123=""),"",SUMIFS($G$2:$G$301,$A$2:$A$301,A123,$B$2:$B$301,B123))</x:f>
      </x:c>
      <x:c r="I123" s="308" t="str">
        <x:f>IFERROR(G123/H123,"")</x:f>
      </x:c>
      <x:c r="J123" s="235"/>
      <x:c r="K123" s="235"/>
      <x:c r="L123" s="235"/>
      <x:c r="M123" s="235"/>
      <x:c r="N123" s="315" t="str">
        <x:f>IF(OR(I123="",K123=""),"",100*I123*K123)</x:f>
      </x:c>
      <x:c r="O123" s="308" t="str">
        <x:f>IF(OR(I123="",M123=""),"",I123*M123)</x:f>
      </x:c>
      <x:c r="P123" s="235"/>
      <x:c r="Q123" s="235"/>
      <x:c r="R123" s="235"/>
      <x:c r="S123" s="308" t="str">
        <x:f>IF(OR(A123="",B123=""),"",SUMIFS($I$2:$I$301,$A$2:$A$301,A123,$B$2:$B$301,B123))</x:f>
      </x:c>
      <x:c r="T123" s="233" t="str">
        <x:f>IF(B123="","",IF(ABS(S123-1)&gt;0.000001,"ERROR_SHARE",IF(OR(Q123&lt;&gt;"VERIFIED",R123&lt;&gt;"VERIFIED"),"CHECK_MAPPING","OK")))</x:f>
      </x:c>
      <x:c r="U123" s="297"/>
    </x:row>
    <x:row r="124">
      <x:c r="A124" s="293"/>
      <x:c r="B124" s="235"/>
      <x:c r="C124" s="294"/>
      <x:c r="D124" s="294"/>
      <x:c r="E124" s="314"/>
      <x:c r="F124" s="307" t="str">
        <x:f>IF(OR(A124="",B124="",C124=""),"",SUMIFS('04_SAKERNAS_AGG'!$K$2:$K$301,'04_SAKERNAS_AGG'!$E$2:$E$301,A124,'04_SAKERNAS_AGG'!$F$2:$F$301,B124,'04_SAKERNAS_AGG'!$H$2:$H$301,C124))</x:f>
      </x:c>
      <x:c r="G124" s="307" t="str">
        <x:f>IF(OR(E124="",F124=""),"",E124*F124)</x:f>
      </x:c>
      <x:c r="H124" s="307" t="str">
        <x:f>IF(OR(A124="",B124="",G124=""),"",SUMIFS($G$2:$G$301,$A$2:$A$301,A124,$B$2:$B$301,B124))</x:f>
      </x:c>
      <x:c r="I124" s="308" t="str">
        <x:f>IFERROR(G124/H124,"")</x:f>
      </x:c>
      <x:c r="J124" s="235"/>
      <x:c r="K124" s="235"/>
      <x:c r="L124" s="235"/>
      <x:c r="M124" s="235"/>
      <x:c r="N124" s="315" t="str">
        <x:f>IF(OR(I124="",K124=""),"",100*I124*K124)</x:f>
      </x:c>
      <x:c r="O124" s="308" t="str">
        <x:f>IF(OR(I124="",M124=""),"",I124*M124)</x:f>
      </x:c>
      <x:c r="P124" s="235"/>
      <x:c r="Q124" s="235"/>
      <x:c r="R124" s="235"/>
      <x:c r="S124" s="308" t="str">
        <x:f>IF(OR(A124="",B124=""),"",SUMIFS($I$2:$I$301,$A$2:$A$301,A124,$B$2:$B$301,B124))</x:f>
      </x:c>
      <x:c r="T124" s="233" t="str">
        <x:f>IF(B124="","",IF(ABS(S124-1)&gt;0.000001,"ERROR_SHARE",IF(OR(Q124&lt;&gt;"VERIFIED",R124&lt;&gt;"VERIFIED"),"CHECK_MAPPING","OK")))</x:f>
      </x:c>
      <x:c r="U124" s="297"/>
    </x:row>
    <x:row r="125">
      <x:c r="A125" s="293"/>
      <x:c r="B125" s="235"/>
      <x:c r="C125" s="294"/>
      <x:c r="D125" s="294"/>
      <x:c r="E125" s="314"/>
      <x:c r="F125" s="307" t="str">
        <x:f>IF(OR(A125="",B125="",C125=""),"",SUMIFS('04_SAKERNAS_AGG'!$K$2:$K$301,'04_SAKERNAS_AGG'!$E$2:$E$301,A125,'04_SAKERNAS_AGG'!$F$2:$F$301,B125,'04_SAKERNAS_AGG'!$H$2:$H$301,C125))</x:f>
      </x:c>
      <x:c r="G125" s="307" t="str">
        <x:f>IF(OR(E125="",F125=""),"",E125*F125)</x:f>
      </x:c>
      <x:c r="H125" s="307" t="str">
        <x:f>IF(OR(A125="",B125="",G125=""),"",SUMIFS($G$2:$G$301,$A$2:$A$301,A125,$B$2:$B$301,B125))</x:f>
      </x:c>
      <x:c r="I125" s="308" t="str">
        <x:f>IFERROR(G125/H125,"")</x:f>
      </x:c>
      <x:c r="J125" s="235"/>
      <x:c r="K125" s="235"/>
      <x:c r="L125" s="235"/>
      <x:c r="M125" s="235"/>
      <x:c r="N125" s="315" t="str">
        <x:f>IF(OR(I125="",K125=""),"",100*I125*K125)</x:f>
      </x:c>
      <x:c r="O125" s="308" t="str">
        <x:f>IF(OR(I125="",M125=""),"",I125*M125)</x:f>
      </x:c>
      <x:c r="P125" s="235"/>
      <x:c r="Q125" s="235"/>
      <x:c r="R125" s="235"/>
      <x:c r="S125" s="308" t="str">
        <x:f>IF(OR(A125="",B125=""),"",SUMIFS($I$2:$I$301,$A$2:$A$301,A125,$B$2:$B$301,B125))</x:f>
      </x:c>
      <x:c r="T125" s="233" t="str">
        <x:f>IF(B125="","",IF(ABS(S125-1)&gt;0.000001,"ERROR_SHARE",IF(OR(Q125&lt;&gt;"VERIFIED",R125&lt;&gt;"VERIFIED"),"CHECK_MAPPING","OK")))</x:f>
      </x:c>
      <x:c r="U125" s="297"/>
    </x:row>
    <x:row r="126">
      <x:c r="A126" s="293"/>
      <x:c r="B126" s="235"/>
      <x:c r="C126" s="294"/>
      <x:c r="D126" s="294"/>
      <x:c r="E126" s="314"/>
      <x:c r="F126" s="307" t="str">
        <x:f>IF(OR(A126="",B126="",C126=""),"",SUMIFS('04_SAKERNAS_AGG'!$K$2:$K$301,'04_SAKERNAS_AGG'!$E$2:$E$301,A126,'04_SAKERNAS_AGG'!$F$2:$F$301,B126,'04_SAKERNAS_AGG'!$H$2:$H$301,C126))</x:f>
      </x:c>
      <x:c r="G126" s="307" t="str">
        <x:f>IF(OR(E126="",F126=""),"",E126*F126)</x:f>
      </x:c>
      <x:c r="H126" s="307" t="str">
        <x:f>IF(OR(A126="",B126="",G126=""),"",SUMIFS($G$2:$G$301,$A$2:$A$301,A126,$B$2:$B$301,B126))</x:f>
      </x:c>
      <x:c r="I126" s="308" t="str">
        <x:f>IFERROR(G126/H126,"")</x:f>
      </x:c>
      <x:c r="J126" s="235"/>
      <x:c r="K126" s="235"/>
      <x:c r="L126" s="235"/>
      <x:c r="M126" s="235"/>
      <x:c r="N126" s="315" t="str">
        <x:f>IF(OR(I126="",K126=""),"",100*I126*K126)</x:f>
      </x:c>
      <x:c r="O126" s="308" t="str">
        <x:f>IF(OR(I126="",M126=""),"",I126*M126)</x:f>
      </x:c>
      <x:c r="P126" s="235"/>
      <x:c r="Q126" s="235"/>
      <x:c r="R126" s="235"/>
      <x:c r="S126" s="308" t="str">
        <x:f>IF(OR(A126="",B126=""),"",SUMIFS($I$2:$I$301,$A$2:$A$301,A126,$B$2:$B$301,B126))</x:f>
      </x:c>
      <x:c r="T126" s="233" t="str">
        <x:f>IF(B126="","",IF(ABS(S126-1)&gt;0.000001,"ERROR_SHARE",IF(OR(Q126&lt;&gt;"VERIFIED",R126&lt;&gt;"VERIFIED"),"CHECK_MAPPING","OK")))</x:f>
      </x:c>
      <x:c r="U126" s="297"/>
    </x:row>
    <x:row r="127">
      <x:c r="A127" s="293"/>
      <x:c r="B127" s="235"/>
      <x:c r="C127" s="294"/>
      <x:c r="D127" s="294"/>
      <x:c r="E127" s="314"/>
      <x:c r="F127" s="307" t="str">
        <x:f>IF(OR(A127="",B127="",C127=""),"",SUMIFS('04_SAKERNAS_AGG'!$K$2:$K$301,'04_SAKERNAS_AGG'!$E$2:$E$301,A127,'04_SAKERNAS_AGG'!$F$2:$F$301,B127,'04_SAKERNAS_AGG'!$H$2:$H$301,C127))</x:f>
      </x:c>
      <x:c r="G127" s="307" t="str">
        <x:f>IF(OR(E127="",F127=""),"",E127*F127)</x:f>
      </x:c>
      <x:c r="H127" s="307" t="str">
        <x:f>IF(OR(A127="",B127="",G127=""),"",SUMIFS($G$2:$G$301,$A$2:$A$301,A127,$B$2:$B$301,B127))</x:f>
      </x:c>
      <x:c r="I127" s="308" t="str">
        <x:f>IFERROR(G127/H127,"")</x:f>
      </x:c>
      <x:c r="J127" s="235"/>
      <x:c r="K127" s="235"/>
      <x:c r="L127" s="235"/>
      <x:c r="M127" s="235"/>
      <x:c r="N127" s="315" t="str">
        <x:f>IF(OR(I127="",K127=""),"",100*I127*K127)</x:f>
      </x:c>
      <x:c r="O127" s="308" t="str">
        <x:f>IF(OR(I127="",M127=""),"",I127*M127)</x:f>
      </x:c>
      <x:c r="P127" s="235"/>
      <x:c r="Q127" s="235"/>
      <x:c r="R127" s="235"/>
      <x:c r="S127" s="308" t="str">
        <x:f>IF(OR(A127="",B127=""),"",SUMIFS($I$2:$I$301,$A$2:$A$301,A127,$B$2:$B$301,B127))</x:f>
      </x:c>
      <x:c r="T127" s="233" t="str">
        <x:f>IF(B127="","",IF(ABS(S127-1)&gt;0.000001,"ERROR_SHARE",IF(OR(Q127&lt;&gt;"VERIFIED",R127&lt;&gt;"VERIFIED"),"CHECK_MAPPING","OK")))</x:f>
      </x:c>
      <x:c r="U127" s="297"/>
    </x:row>
    <x:row r="128">
      <x:c r="A128" s="293"/>
      <x:c r="B128" s="235"/>
      <x:c r="C128" s="294"/>
      <x:c r="D128" s="294"/>
      <x:c r="E128" s="314"/>
      <x:c r="F128" s="307" t="str">
        <x:f>IF(OR(A128="",B128="",C128=""),"",SUMIFS('04_SAKERNAS_AGG'!$K$2:$K$301,'04_SAKERNAS_AGG'!$E$2:$E$301,A128,'04_SAKERNAS_AGG'!$F$2:$F$301,B128,'04_SAKERNAS_AGG'!$H$2:$H$301,C128))</x:f>
      </x:c>
      <x:c r="G128" s="307" t="str">
        <x:f>IF(OR(E128="",F128=""),"",E128*F128)</x:f>
      </x:c>
      <x:c r="H128" s="307" t="str">
        <x:f>IF(OR(A128="",B128="",G128=""),"",SUMIFS($G$2:$G$301,$A$2:$A$301,A128,$B$2:$B$301,B128))</x:f>
      </x:c>
      <x:c r="I128" s="308" t="str">
        <x:f>IFERROR(G128/H128,"")</x:f>
      </x:c>
      <x:c r="J128" s="235"/>
      <x:c r="K128" s="235"/>
      <x:c r="L128" s="235"/>
      <x:c r="M128" s="235"/>
      <x:c r="N128" s="315" t="str">
        <x:f>IF(OR(I128="",K128=""),"",100*I128*K128)</x:f>
      </x:c>
      <x:c r="O128" s="308" t="str">
        <x:f>IF(OR(I128="",M128=""),"",I128*M128)</x:f>
      </x:c>
      <x:c r="P128" s="235"/>
      <x:c r="Q128" s="235"/>
      <x:c r="R128" s="235"/>
      <x:c r="S128" s="308" t="str">
        <x:f>IF(OR(A128="",B128=""),"",SUMIFS($I$2:$I$301,$A$2:$A$301,A128,$B$2:$B$301,B128))</x:f>
      </x:c>
      <x:c r="T128" s="233" t="str">
        <x:f>IF(B128="","",IF(ABS(S128-1)&gt;0.000001,"ERROR_SHARE",IF(OR(Q128&lt;&gt;"VERIFIED",R128&lt;&gt;"VERIFIED"),"CHECK_MAPPING","OK")))</x:f>
      </x:c>
      <x:c r="U128" s="297"/>
    </x:row>
    <x:row r="129">
      <x:c r="A129" s="293"/>
      <x:c r="B129" s="235"/>
      <x:c r="C129" s="294"/>
      <x:c r="D129" s="294"/>
      <x:c r="E129" s="314"/>
      <x:c r="F129" s="307" t="str">
        <x:f>IF(OR(A129="",B129="",C129=""),"",SUMIFS('04_SAKERNAS_AGG'!$K$2:$K$301,'04_SAKERNAS_AGG'!$E$2:$E$301,A129,'04_SAKERNAS_AGG'!$F$2:$F$301,B129,'04_SAKERNAS_AGG'!$H$2:$H$301,C129))</x:f>
      </x:c>
      <x:c r="G129" s="307" t="str">
        <x:f>IF(OR(E129="",F129=""),"",E129*F129)</x:f>
      </x:c>
      <x:c r="H129" s="307" t="str">
        <x:f>IF(OR(A129="",B129="",G129=""),"",SUMIFS($G$2:$G$301,$A$2:$A$301,A129,$B$2:$B$301,B129))</x:f>
      </x:c>
      <x:c r="I129" s="308" t="str">
        <x:f>IFERROR(G129/H129,"")</x:f>
      </x:c>
      <x:c r="J129" s="235"/>
      <x:c r="K129" s="235"/>
      <x:c r="L129" s="235"/>
      <x:c r="M129" s="235"/>
      <x:c r="N129" s="315" t="str">
        <x:f>IF(OR(I129="",K129=""),"",100*I129*K129)</x:f>
      </x:c>
      <x:c r="O129" s="308" t="str">
        <x:f>IF(OR(I129="",M129=""),"",I129*M129)</x:f>
      </x:c>
      <x:c r="P129" s="235"/>
      <x:c r="Q129" s="235"/>
      <x:c r="R129" s="235"/>
      <x:c r="S129" s="308" t="str">
        <x:f>IF(OR(A129="",B129=""),"",SUMIFS($I$2:$I$301,$A$2:$A$301,A129,$B$2:$B$301,B129))</x:f>
      </x:c>
      <x:c r="T129" s="233" t="str">
        <x:f>IF(B129="","",IF(ABS(S129-1)&gt;0.000001,"ERROR_SHARE",IF(OR(Q129&lt;&gt;"VERIFIED",R129&lt;&gt;"VERIFIED"),"CHECK_MAPPING","OK")))</x:f>
      </x:c>
      <x:c r="U129" s="297"/>
    </x:row>
    <x:row r="130">
      <x:c r="A130" s="293"/>
      <x:c r="B130" s="235"/>
      <x:c r="C130" s="294"/>
      <x:c r="D130" s="294"/>
      <x:c r="E130" s="314"/>
      <x:c r="F130" s="307" t="str">
        <x:f>IF(OR(A130="",B130="",C130=""),"",SUMIFS('04_SAKERNAS_AGG'!$K$2:$K$301,'04_SAKERNAS_AGG'!$E$2:$E$301,A130,'04_SAKERNAS_AGG'!$F$2:$F$301,B130,'04_SAKERNAS_AGG'!$H$2:$H$301,C130))</x:f>
      </x:c>
      <x:c r="G130" s="307" t="str">
        <x:f>IF(OR(E130="",F130=""),"",E130*F130)</x:f>
      </x:c>
      <x:c r="H130" s="307" t="str">
        <x:f>IF(OR(A130="",B130="",G130=""),"",SUMIFS($G$2:$G$301,$A$2:$A$301,A130,$B$2:$B$301,B130))</x:f>
      </x:c>
      <x:c r="I130" s="308" t="str">
        <x:f>IFERROR(G130/H130,"")</x:f>
      </x:c>
      <x:c r="J130" s="235"/>
      <x:c r="K130" s="235"/>
      <x:c r="L130" s="235"/>
      <x:c r="M130" s="235"/>
      <x:c r="N130" s="315" t="str">
        <x:f>IF(OR(I130="",K130=""),"",100*I130*K130)</x:f>
      </x:c>
      <x:c r="O130" s="308" t="str">
        <x:f>IF(OR(I130="",M130=""),"",I130*M130)</x:f>
      </x:c>
      <x:c r="P130" s="235"/>
      <x:c r="Q130" s="235"/>
      <x:c r="R130" s="235"/>
      <x:c r="S130" s="308" t="str">
        <x:f>IF(OR(A130="",B130=""),"",SUMIFS($I$2:$I$301,$A$2:$A$301,A130,$B$2:$B$301,B130))</x:f>
      </x:c>
      <x:c r="T130" s="233" t="str">
        <x:f>IF(B130="","",IF(ABS(S130-1)&gt;0.000001,"ERROR_SHARE",IF(OR(Q130&lt;&gt;"VERIFIED",R130&lt;&gt;"VERIFIED"),"CHECK_MAPPING","OK")))</x:f>
      </x:c>
      <x:c r="U130" s="297"/>
    </x:row>
    <x:row r="131">
      <x:c r="A131" s="293"/>
      <x:c r="B131" s="235"/>
      <x:c r="C131" s="294"/>
      <x:c r="D131" s="294"/>
      <x:c r="E131" s="314"/>
      <x:c r="F131" s="307" t="str">
        <x:f>IF(OR(A131="",B131="",C131=""),"",SUMIFS('04_SAKERNAS_AGG'!$K$2:$K$301,'04_SAKERNAS_AGG'!$E$2:$E$301,A131,'04_SAKERNAS_AGG'!$F$2:$F$301,B131,'04_SAKERNAS_AGG'!$H$2:$H$301,C131))</x:f>
      </x:c>
      <x:c r="G131" s="307" t="str">
        <x:f>IF(OR(E131="",F131=""),"",E131*F131)</x:f>
      </x:c>
      <x:c r="H131" s="307" t="str">
        <x:f>IF(OR(A131="",B131="",G131=""),"",SUMIFS($G$2:$G$301,$A$2:$A$301,A131,$B$2:$B$301,B131))</x:f>
      </x:c>
      <x:c r="I131" s="308" t="str">
        <x:f>IFERROR(G131/H131,"")</x:f>
      </x:c>
      <x:c r="J131" s="235"/>
      <x:c r="K131" s="235"/>
      <x:c r="L131" s="235"/>
      <x:c r="M131" s="235"/>
      <x:c r="N131" s="315" t="str">
        <x:f>IF(OR(I131="",K131=""),"",100*I131*K131)</x:f>
      </x:c>
      <x:c r="O131" s="308" t="str">
        <x:f>IF(OR(I131="",M131=""),"",I131*M131)</x:f>
      </x:c>
      <x:c r="P131" s="235"/>
      <x:c r="Q131" s="235"/>
      <x:c r="R131" s="235"/>
      <x:c r="S131" s="308" t="str">
        <x:f>IF(OR(A131="",B131=""),"",SUMIFS($I$2:$I$301,$A$2:$A$301,A131,$B$2:$B$301,B131))</x:f>
      </x:c>
      <x:c r="T131" s="233" t="str">
        <x:f>IF(B131="","",IF(ABS(S131-1)&gt;0.000001,"ERROR_SHARE",IF(OR(Q131&lt;&gt;"VERIFIED",R131&lt;&gt;"VERIFIED"),"CHECK_MAPPING","OK")))</x:f>
      </x:c>
      <x:c r="U131" s="297"/>
    </x:row>
    <x:row r="132">
      <x:c r="A132" s="293"/>
      <x:c r="B132" s="235"/>
      <x:c r="C132" s="294"/>
      <x:c r="D132" s="294"/>
      <x:c r="E132" s="314"/>
      <x:c r="F132" s="307" t="str">
        <x:f>IF(OR(A132="",B132="",C132=""),"",SUMIFS('04_SAKERNAS_AGG'!$K$2:$K$301,'04_SAKERNAS_AGG'!$E$2:$E$301,A132,'04_SAKERNAS_AGG'!$F$2:$F$301,B132,'04_SAKERNAS_AGG'!$H$2:$H$301,C132))</x:f>
      </x:c>
      <x:c r="G132" s="307" t="str">
        <x:f>IF(OR(E132="",F132=""),"",E132*F132)</x:f>
      </x:c>
      <x:c r="H132" s="307" t="str">
        <x:f>IF(OR(A132="",B132="",G132=""),"",SUMIFS($G$2:$G$301,$A$2:$A$301,A132,$B$2:$B$301,B132))</x:f>
      </x:c>
      <x:c r="I132" s="308" t="str">
        <x:f>IFERROR(G132/H132,"")</x:f>
      </x:c>
      <x:c r="J132" s="235"/>
      <x:c r="K132" s="235"/>
      <x:c r="L132" s="235"/>
      <x:c r="M132" s="235"/>
      <x:c r="N132" s="315" t="str">
        <x:f>IF(OR(I132="",K132=""),"",100*I132*K132)</x:f>
      </x:c>
      <x:c r="O132" s="308" t="str">
        <x:f>IF(OR(I132="",M132=""),"",I132*M132)</x:f>
      </x:c>
      <x:c r="P132" s="235"/>
      <x:c r="Q132" s="235"/>
      <x:c r="R132" s="235"/>
      <x:c r="S132" s="308" t="str">
        <x:f>IF(OR(A132="",B132=""),"",SUMIFS($I$2:$I$301,$A$2:$A$301,A132,$B$2:$B$301,B132))</x:f>
      </x:c>
      <x:c r="T132" s="233" t="str">
        <x:f>IF(B132="","",IF(ABS(S132-1)&gt;0.000001,"ERROR_SHARE",IF(OR(Q132&lt;&gt;"VERIFIED",R132&lt;&gt;"VERIFIED"),"CHECK_MAPPING","OK")))</x:f>
      </x:c>
      <x:c r="U132" s="297"/>
    </x:row>
    <x:row r="133">
      <x:c r="A133" s="293"/>
      <x:c r="B133" s="235"/>
      <x:c r="C133" s="294"/>
      <x:c r="D133" s="294"/>
      <x:c r="E133" s="314"/>
      <x:c r="F133" s="307" t="str">
        <x:f>IF(OR(A133="",B133="",C133=""),"",SUMIFS('04_SAKERNAS_AGG'!$K$2:$K$301,'04_SAKERNAS_AGG'!$E$2:$E$301,A133,'04_SAKERNAS_AGG'!$F$2:$F$301,B133,'04_SAKERNAS_AGG'!$H$2:$H$301,C133))</x:f>
      </x:c>
      <x:c r="G133" s="307" t="str">
        <x:f>IF(OR(E133="",F133=""),"",E133*F133)</x:f>
      </x:c>
      <x:c r="H133" s="307" t="str">
        <x:f>IF(OR(A133="",B133="",G133=""),"",SUMIFS($G$2:$G$301,$A$2:$A$301,A133,$B$2:$B$301,B133))</x:f>
      </x:c>
      <x:c r="I133" s="308" t="str">
        <x:f>IFERROR(G133/H133,"")</x:f>
      </x:c>
      <x:c r="J133" s="235"/>
      <x:c r="K133" s="235"/>
      <x:c r="L133" s="235"/>
      <x:c r="M133" s="235"/>
      <x:c r="N133" s="315" t="str">
        <x:f>IF(OR(I133="",K133=""),"",100*I133*K133)</x:f>
      </x:c>
      <x:c r="O133" s="308" t="str">
        <x:f>IF(OR(I133="",M133=""),"",I133*M133)</x:f>
      </x:c>
      <x:c r="P133" s="235"/>
      <x:c r="Q133" s="235"/>
      <x:c r="R133" s="235"/>
      <x:c r="S133" s="308" t="str">
        <x:f>IF(OR(A133="",B133=""),"",SUMIFS($I$2:$I$301,$A$2:$A$301,A133,$B$2:$B$301,B133))</x:f>
      </x:c>
      <x:c r="T133" s="233" t="str">
        <x:f>IF(B133="","",IF(ABS(S133-1)&gt;0.000001,"ERROR_SHARE",IF(OR(Q133&lt;&gt;"VERIFIED",R133&lt;&gt;"VERIFIED"),"CHECK_MAPPING","OK")))</x:f>
      </x:c>
      <x:c r="U133" s="297"/>
    </x:row>
    <x:row r="134">
      <x:c r="A134" s="293"/>
      <x:c r="B134" s="235"/>
      <x:c r="C134" s="294"/>
      <x:c r="D134" s="294"/>
      <x:c r="E134" s="314"/>
      <x:c r="F134" s="307" t="str">
        <x:f>IF(OR(A134="",B134="",C134=""),"",SUMIFS('04_SAKERNAS_AGG'!$K$2:$K$301,'04_SAKERNAS_AGG'!$E$2:$E$301,A134,'04_SAKERNAS_AGG'!$F$2:$F$301,B134,'04_SAKERNAS_AGG'!$H$2:$H$301,C134))</x:f>
      </x:c>
      <x:c r="G134" s="307" t="str">
        <x:f>IF(OR(E134="",F134=""),"",E134*F134)</x:f>
      </x:c>
      <x:c r="H134" s="307" t="str">
        <x:f>IF(OR(A134="",B134="",G134=""),"",SUMIFS($G$2:$G$301,$A$2:$A$301,A134,$B$2:$B$301,B134))</x:f>
      </x:c>
      <x:c r="I134" s="308" t="str">
        <x:f>IFERROR(G134/H134,"")</x:f>
      </x:c>
      <x:c r="J134" s="235"/>
      <x:c r="K134" s="235"/>
      <x:c r="L134" s="235"/>
      <x:c r="M134" s="235"/>
      <x:c r="N134" s="315" t="str">
        <x:f>IF(OR(I134="",K134=""),"",100*I134*K134)</x:f>
      </x:c>
      <x:c r="O134" s="308" t="str">
        <x:f>IF(OR(I134="",M134=""),"",I134*M134)</x:f>
      </x:c>
      <x:c r="P134" s="235"/>
      <x:c r="Q134" s="235"/>
      <x:c r="R134" s="235"/>
      <x:c r="S134" s="308" t="str">
        <x:f>IF(OR(A134="",B134=""),"",SUMIFS($I$2:$I$301,$A$2:$A$301,A134,$B$2:$B$301,B134))</x:f>
      </x:c>
      <x:c r="T134" s="233" t="str">
        <x:f>IF(B134="","",IF(ABS(S134-1)&gt;0.000001,"ERROR_SHARE",IF(OR(Q134&lt;&gt;"VERIFIED",R134&lt;&gt;"VERIFIED"),"CHECK_MAPPING","OK")))</x:f>
      </x:c>
      <x:c r="U134" s="297"/>
    </x:row>
    <x:row r="135">
      <x:c r="A135" s="293"/>
      <x:c r="B135" s="235"/>
      <x:c r="C135" s="294"/>
      <x:c r="D135" s="294"/>
      <x:c r="E135" s="314"/>
      <x:c r="F135" s="307" t="str">
        <x:f>IF(OR(A135="",B135="",C135=""),"",SUMIFS('04_SAKERNAS_AGG'!$K$2:$K$301,'04_SAKERNAS_AGG'!$E$2:$E$301,A135,'04_SAKERNAS_AGG'!$F$2:$F$301,B135,'04_SAKERNAS_AGG'!$H$2:$H$301,C135))</x:f>
      </x:c>
      <x:c r="G135" s="307" t="str">
        <x:f>IF(OR(E135="",F135=""),"",E135*F135)</x:f>
      </x:c>
      <x:c r="H135" s="307" t="str">
        <x:f>IF(OR(A135="",B135="",G135=""),"",SUMIFS($G$2:$G$301,$A$2:$A$301,A135,$B$2:$B$301,B135))</x:f>
      </x:c>
      <x:c r="I135" s="308" t="str">
        <x:f>IFERROR(G135/H135,"")</x:f>
      </x:c>
      <x:c r="J135" s="235"/>
      <x:c r="K135" s="235"/>
      <x:c r="L135" s="235"/>
      <x:c r="M135" s="235"/>
      <x:c r="N135" s="315" t="str">
        <x:f>IF(OR(I135="",K135=""),"",100*I135*K135)</x:f>
      </x:c>
      <x:c r="O135" s="308" t="str">
        <x:f>IF(OR(I135="",M135=""),"",I135*M135)</x:f>
      </x:c>
      <x:c r="P135" s="235"/>
      <x:c r="Q135" s="235"/>
      <x:c r="R135" s="235"/>
      <x:c r="S135" s="308" t="str">
        <x:f>IF(OR(A135="",B135=""),"",SUMIFS($I$2:$I$301,$A$2:$A$301,A135,$B$2:$B$301,B135))</x:f>
      </x:c>
      <x:c r="T135" s="233" t="str">
        <x:f>IF(B135="","",IF(ABS(S135-1)&gt;0.000001,"ERROR_SHARE",IF(OR(Q135&lt;&gt;"VERIFIED",R135&lt;&gt;"VERIFIED"),"CHECK_MAPPING","OK")))</x:f>
      </x:c>
      <x:c r="U135" s="297"/>
    </x:row>
    <x:row r="136">
      <x:c r="A136" s="293"/>
      <x:c r="B136" s="235"/>
      <x:c r="C136" s="294"/>
      <x:c r="D136" s="294"/>
      <x:c r="E136" s="314"/>
      <x:c r="F136" s="307" t="str">
        <x:f>IF(OR(A136="",B136="",C136=""),"",SUMIFS('04_SAKERNAS_AGG'!$K$2:$K$301,'04_SAKERNAS_AGG'!$E$2:$E$301,A136,'04_SAKERNAS_AGG'!$F$2:$F$301,B136,'04_SAKERNAS_AGG'!$H$2:$H$301,C136))</x:f>
      </x:c>
      <x:c r="G136" s="307" t="str">
        <x:f>IF(OR(E136="",F136=""),"",E136*F136)</x:f>
      </x:c>
      <x:c r="H136" s="307" t="str">
        <x:f>IF(OR(A136="",B136="",G136=""),"",SUMIFS($G$2:$G$301,$A$2:$A$301,A136,$B$2:$B$301,B136))</x:f>
      </x:c>
      <x:c r="I136" s="308" t="str">
        <x:f>IFERROR(G136/H136,"")</x:f>
      </x:c>
      <x:c r="J136" s="235"/>
      <x:c r="K136" s="235"/>
      <x:c r="L136" s="235"/>
      <x:c r="M136" s="235"/>
      <x:c r="N136" s="315" t="str">
        <x:f>IF(OR(I136="",K136=""),"",100*I136*K136)</x:f>
      </x:c>
      <x:c r="O136" s="308" t="str">
        <x:f>IF(OR(I136="",M136=""),"",I136*M136)</x:f>
      </x:c>
      <x:c r="P136" s="235"/>
      <x:c r="Q136" s="235"/>
      <x:c r="R136" s="235"/>
      <x:c r="S136" s="308" t="str">
        <x:f>IF(OR(A136="",B136=""),"",SUMIFS($I$2:$I$301,$A$2:$A$301,A136,$B$2:$B$301,B136))</x:f>
      </x:c>
      <x:c r="T136" s="233" t="str">
        <x:f>IF(B136="","",IF(ABS(S136-1)&gt;0.000001,"ERROR_SHARE",IF(OR(Q136&lt;&gt;"VERIFIED",R136&lt;&gt;"VERIFIED"),"CHECK_MAPPING","OK")))</x:f>
      </x:c>
      <x:c r="U136" s="297"/>
    </x:row>
    <x:row r="137">
      <x:c r="A137" s="293"/>
      <x:c r="B137" s="235"/>
      <x:c r="C137" s="294"/>
      <x:c r="D137" s="294"/>
      <x:c r="E137" s="314"/>
      <x:c r="F137" s="307" t="str">
        <x:f>IF(OR(A137="",B137="",C137=""),"",SUMIFS('04_SAKERNAS_AGG'!$K$2:$K$301,'04_SAKERNAS_AGG'!$E$2:$E$301,A137,'04_SAKERNAS_AGG'!$F$2:$F$301,B137,'04_SAKERNAS_AGG'!$H$2:$H$301,C137))</x:f>
      </x:c>
      <x:c r="G137" s="307" t="str">
        <x:f>IF(OR(E137="",F137=""),"",E137*F137)</x:f>
      </x:c>
      <x:c r="H137" s="307" t="str">
        <x:f>IF(OR(A137="",B137="",G137=""),"",SUMIFS($G$2:$G$301,$A$2:$A$301,A137,$B$2:$B$301,B137))</x:f>
      </x:c>
      <x:c r="I137" s="308" t="str">
        <x:f>IFERROR(G137/H137,"")</x:f>
      </x:c>
      <x:c r="J137" s="235"/>
      <x:c r="K137" s="235"/>
      <x:c r="L137" s="235"/>
      <x:c r="M137" s="235"/>
      <x:c r="N137" s="315" t="str">
        <x:f>IF(OR(I137="",K137=""),"",100*I137*K137)</x:f>
      </x:c>
      <x:c r="O137" s="308" t="str">
        <x:f>IF(OR(I137="",M137=""),"",I137*M137)</x:f>
      </x:c>
      <x:c r="P137" s="235"/>
      <x:c r="Q137" s="235"/>
      <x:c r="R137" s="235"/>
      <x:c r="S137" s="308" t="str">
        <x:f>IF(OR(A137="",B137=""),"",SUMIFS($I$2:$I$301,$A$2:$A$301,A137,$B$2:$B$301,B137))</x:f>
      </x:c>
      <x:c r="T137" s="233" t="str">
        <x:f>IF(B137="","",IF(ABS(S137-1)&gt;0.000001,"ERROR_SHARE",IF(OR(Q137&lt;&gt;"VERIFIED",R137&lt;&gt;"VERIFIED"),"CHECK_MAPPING","OK")))</x:f>
      </x:c>
      <x:c r="U137" s="297"/>
    </x:row>
    <x:row r="138">
      <x:c r="A138" s="293"/>
      <x:c r="B138" s="235"/>
      <x:c r="C138" s="294"/>
      <x:c r="D138" s="294"/>
      <x:c r="E138" s="314"/>
      <x:c r="F138" s="307" t="str">
        <x:f>IF(OR(A138="",B138="",C138=""),"",SUMIFS('04_SAKERNAS_AGG'!$K$2:$K$301,'04_SAKERNAS_AGG'!$E$2:$E$301,A138,'04_SAKERNAS_AGG'!$F$2:$F$301,B138,'04_SAKERNAS_AGG'!$H$2:$H$301,C138))</x:f>
      </x:c>
      <x:c r="G138" s="307" t="str">
        <x:f>IF(OR(E138="",F138=""),"",E138*F138)</x:f>
      </x:c>
      <x:c r="H138" s="307" t="str">
        <x:f>IF(OR(A138="",B138="",G138=""),"",SUMIFS($G$2:$G$301,$A$2:$A$301,A138,$B$2:$B$301,B138))</x:f>
      </x:c>
      <x:c r="I138" s="308" t="str">
        <x:f>IFERROR(G138/H138,"")</x:f>
      </x:c>
      <x:c r="J138" s="235"/>
      <x:c r="K138" s="235"/>
      <x:c r="L138" s="235"/>
      <x:c r="M138" s="235"/>
      <x:c r="N138" s="315" t="str">
        <x:f>IF(OR(I138="",K138=""),"",100*I138*K138)</x:f>
      </x:c>
      <x:c r="O138" s="308" t="str">
        <x:f>IF(OR(I138="",M138=""),"",I138*M138)</x:f>
      </x:c>
      <x:c r="P138" s="235"/>
      <x:c r="Q138" s="235"/>
      <x:c r="R138" s="235"/>
      <x:c r="S138" s="308" t="str">
        <x:f>IF(OR(A138="",B138=""),"",SUMIFS($I$2:$I$301,$A$2:$A$301,A138,$B$2:$B$301,B138))</x:f>
      </x:c>
      <x:c r="T138" s="233" t="str">
        <x:f>IF(B138="","",IF(ABS(S138-1)&gt;0.000001,"ERROR_SHARE",IF(OR(Q138&lt;&gt;"VERIFIED",R138&lt;&gt;"VERIFIED"),"CHECK_MAPPING","OK")))</x:f>
      </x:c>
      <x:c r="U138" s="297"/>
    </x:row>
    <x:row r="139">
      <x:c r="A139" s="293"/>
      <x:c r="B139" s="235"/>
      <x:c r="C139" s="294"/>
      <x:c r="D139" s="294"/>
      <x:c r="E139" s="314"/>
      <x:c r="F139" s="307" t="str">
        <x:f>IF(OR(A139="",B139="",C139=""),"",SUMIFS('04_SAKERNAS_AGG'!$K$2:$K$301,'04_SAKERNAS_AGG'!$E$2:$E$301,A139,'04_SAKERNAS_AGG'!$F$2:$F$301,B139,'04_SAKERNAS_AGG'!$H$2:$H$301,C139))</x:f>
      </x:c>
      <x:c r="G139" s="307" t="str">
        <x:f>IF(OR(E139="",F139=""),"",E139*F139)</x:f>
      </x:c>
      <x:c r="H139" s="307" t="str">
        <x:f>IF(OR(A139="",B139="",G139=""),"",SUMIFS($G$2:$G$301,$A$2:$A$301,A139,$B$2:$B$301,B139))</x:f>
      </x:c>
      <x:c r="I139" s="308" t="str">
        <x:f>IFERROR(G139/H139,"")</x:f>
      </x:c>
      <x:c r="J139" s="235"/>
      <x:c r="K139" s="235"/>
      <x:c r="L139" s="235"/>
      <x:c r="M139" s="235"/>
      <x:c r="N139" s="315" t="str">
        <x:f>IF(OR(I139="",K139=""),"",100*I139*K139)</x:f>
      </x:c>
      <x:c r="O139" s="308" t="str">
        <x:f>IF(OR(I139="",M139=""),"",I139*M139)</x:f>
      </x:c>
      <x:c r="P139" s="235"/>
      <x:c r="Q139" s="235"/>
      <x:c r="R139" s="235"/>
      <x:c r="S139" s="308" t="str">
        <x:f>IF(OR(A139="",B139=""),"",SUMIFS($I$2:$I$301,$A$2:$A$301,A139,$B$2:$B$301,B139))</x:f>
      </x:c>
      <x:c r="T139" s="233" t="str">
        <x:f>IF(B139="","",IF(ABS(S139-1)&gt;0.000001,"ERROR_SHARE",IF(OR(Q139&lt;&gt;"VERIFIED",R139&lt;&gt;"VERIFIED"),"CHECK_MAPPING","OK")))</x:f>
      </x:c>
      <x:c r="U139" s="297"/>
    </x:row>
    <x:row r="140">
      <x:c r="A140" s="293"/>
      <x:c r="B140" s="235"/>
      <x:c r="C140" s="294"/>
      <x:c r="D140" s="294"/>
      <x:c r="E140" s="314"/>
      <x:c r="F140" s="307" t="str">
        <x:f>IF(OR(A140="",B140="",C140=""),"",SUMIFS('04_SAKERNAS_AGG'!$K$2:$K$301,'04_SAKERNAS_AGG'!$E$2:$E$301,A140,'04_SAKERNAS_AGG'!$F$2:$F$301,B140,'04_SAKERNAS_AGG'!$H$2:$H$301,C140))</x:f>
      </x:c>
      <x:c r="G140" s="307" t="str">
        <x:f>IF(OR(E140="",F140=""),"",E140*F140)</x:f>
      </x:c>
      <x:c r="H140" s="307" t="str">
        <x:f>IF(OR(A140="",B140="",G140=""),"",SUMIFS($G$2:$G$301,$A$2:$A$301,A140,$B$2:$B$301,B140))</x:f>
      </x:c>
      <x:c r="I140" s="308" t="str">
        <x:f>IFERROR(G140/H140,"")</x:f>
      </x:c>
      <x:c r="J140" s="235"/>
      <x:c r="K140" s="235"/>
      <x:c r="L140" s="235"/>
      <x:c r="M140" s="235"/>
      <x:c r="N140" s="315" t="str">
        <x:f>IF(OR(I140="",K140=""),"",100*I140*K140)</x:f>
      </x:c>
      <x:c r="O140" s="308" t="str">
        <x:f>IF(OR(I140="",M140=""),"",I140*M140)</x:f>
      </x:c>
      <x:c r="P140" s="235"/>
      <x:c r="Q140" s="235"/>
      <x:c r="R140" s="235"/>
      <x:c r="S140" s="308" t="str">
        <x:f>IF(OR(A140="",B140=""),"",SUMIFS($I$2:$I$301,$A$2:$A$301,A140,$B$2:$B$301,B140))</x:f>
      </x:c>
      <x:c r="T140" s="233" t="str">
        <x:f>IF(B140="","",IF(ABS(S140-1)&gt;0.000001,"ERROR_SHARE",IF(OR(Q140&lt;&gt;"VERIFIED",R140&lt;&gt;"VERIFIED"),"CHECK_MAPPING","OK")))</x:f>
      </x:c>
      <x:c r="U140" s="297"/>
    </x:row>
    <x:row r="141">
      <x:c r="A141" s="293"/>
      <x:c r="B141" s="235"/>
      <x:c r="C141" s="294"/>
      <x:c r="D141" s="294"/>
      <x:c r="E141" s="314"/>
      <x:c r="F141" s="307" t="str">
        <x:f>IF(OR(A141="",B141="",C141=""),"",SUMIFS('04_SAKERNAS_AGG'!$K$2:$K$301,'04_SAKERNAS_AGG'!$E$2:$E$301,A141,'04_SAKERNAS_AGG'!$F$2:$F$301,B141,'04_SAKERNAS_AGG'!$H$2:$H$301,C141))</x:f>
      </x:c>
      <x:c r="G141" s="307" t="str">
        <x:f>IF(OR(E141="",F141=""),"",E141*F141)</x:f>
      </x:c>
      <x:c r="H141" s="307" t="str">
        <x:f>IF(OR(A141="",B141="",G141=""),"",SUMIFS($G$2:$G$301,$A$2:$A$301,A141,$B$2:$B$301,B141))</x:f>
      </x:c>
      <x:c r="I141" s="308" t="str">
        <x:f>IFERROR(G141/H141,"")</x:f>
      </x:c>
      <x:c r="J141" s="235"/>
      <x:c r="K141" s="235"/>
      <x:c r="L141" s="235"/>
      <x:c r="M141" s="235"/>
      <x:c r="N141" s="315" t="str">
        <x:f>IF(OR(I141="",K141=""),"",100*I141*K141)</x:f>
      </x:c>
      <x:c r="O141" s="308" t="str">
        <x:f>IF(OR(I141="",M141=""),"",I141*M141)</x:f>
      </x:c>
      <x:c r="P141" s="235"/>
      <x:c r="Q141" s="235"/>
      <x:c r="R141" s="235"/>
      <x:c r="S141" s="308" t="str">
        <x:f>IF(OR(A141="",B141=""),"",SUMIFS($I$2:$I$301,$A$2:$A$301,A141,$B$2:$B$301,B141))</x:f>
      </x:c>
      <x:c r="T141" s="233" t="str">
        <x:f>IF(B141="","",IF(ABS(S141-1)&gt;0.000001,"ERROR_SHARE",IF(OR(Q141&lt;&gt;"VERIFIED",R141&lt;&gt;"VERIFIED"),"CHECK_MAPPING","OK")))</x:f>
      </x:c>
      <x:c r="U141" s="297"/>
    </x:row>
    <x:row r="142">
      <x:c r="A142" s="293"/>
      <x:c r="B142" s="235"/>
      <x:c r="C142" s="294"/>
      <x:c r="D142" s="294"/>
      <x:c r="E142" s="314"/>
      <x:c r="F142" s="307" t="str">
        <x:f>IF(OR(A142="",B142="",C142=""),"",SUMIFS('04_SAKERNAS_AGG'!$K$2:$K$301,'04_SAKERNAS_AGG'!$E$2:$E$301,A142,'04_SAKERNAS_AGG'!$F$2:$F$301,B142,'04_SAKERNAS_AGG'!$H$2:$H$301,C142))</x:f>
      </x:c>
      <x:c r="G142" s="307" t="str">
        <x:f>IF(OR(E142="",F142=""),"",E142*F142)</x:f>
      </x:c>
      <x:c r="H142" s="307" t="str">
        <x:f>IF(OR(A142="",B142="",G142=""),"",SUMIFS($G$2:$G$301,$A$2:$A$301,A142,$B$2:$B$301,B142))</x:f>
      </x:c>
      <x:c r="I142" s="308" t="str">
        <x:f>IFERROR(G142/H142,"")</x:f>
      </x:c>
      <x:c r="J142" s="235"/>
      <x:c r="K142" s="235"/>
      <x:c r="L142" s="235"/>
      <x:c r="M142" s="235"/>
      <x:c r="N142" s="315" t="str">
        <x:f>IF(OR(I142="",K142=""),"",100*I142*K142)</x:f>
      </x:c>
      <x:c r="O142" s="308" t="str">
        <x:f>IF(OR(I142="",M142=""),"",I142*M142)</x:f>
      </x:c>
      <x:c r="P142" s="235"/>
      <x:c r="Q142" s="235"/>
      <x:c r="R142" s="235"/>
      <x:c r="S142" s="308" t="str">
        <x:f>IF(OR(A142="",B142=""),"",SUMIFS($I$2:$I$301,$A$2:$A$301,A142,$B$2:$B$301,B142))</x:f>
      </x:c>
      <x:c r="T142" s="233" t="str">
        <x:f>IF(B142="","",IF(ABS(S142-1)&gt;0.000001,"ERROR_SHARE",IF(OR(Q142&lt;&gt;"VERIFIED",R142&lt;&gt;"VERIFIED"),"CHECK_MAPPING","OK")))</x:f>
      </x:c>
      <x:c r="U142" s="297"/>
    </x:row>
    <x:row r="143">
      <x:c r="A143" s="293"/>
      <x:c r="B143" s="235"/>
      <x:c r="C143" s="294"/>
      <x:c r="D143" s="294"/>
      <x:c r="E143" s="314"/>
      <x:c r="F143" s="307" t="str">
        <x:f>IF(OR(A143="",B143="",C143=""),"",SUMIFS('04_SAKERNAS_AGG'!$K$2:$K$301,'04_SAKERNAS_AGG'!$E$2:$E$301,A143,'04_SAKERNAS_AGG'!$F$2:$F$301,B143,'04_SAKERNAS_AGG'!$H$2:$H$301,C143))</x:f>
      </x:c>
      <x:c r="G143" s="307" t="str">
        <x:f>IF(OR(E143="",F143=""),"",E143*F143)</x:f>
      </x:c>
      <x:c r="H143" s="307" t="str">
        <x:f>IF(OR(A143="",B143="",G143=""),"",SUMIFS($G$2:$G$301,$A$2:$A$301,A143,$B$2:$B$301,B143))</x:f>
      </x:c>
      <x:c r="I143" s="308" t="str">
        <x:f>IFERROR(G143/H143,"")</x:f>
      </x:c>
      <x:c r="J143" s="235"/>
      <x:c r="K143" s="235"/>
      <x:c r="L143" s="235"/>
      <x:c r="M143" s="235"/>
      <x:c r="N143" s="315" t="str">
        <x:f>IF(OR(I143="",K143=""),"",100*I143*K143)</x:f>
      </x:c>
      <x:c r="O143" s="308" t="str">
        <x:f>IF(OR(I143="",M143=""),"",I143*M143)</x:f>
      </x:c>
      <x:c r="P143" s="235"/>
      <x:c r="Q143" s="235"/>
      <x:c r="R143" s="235"/>
      <x:c r="S143" s="308" t="str">
        <x:f>IF(OR(A143="",B143=""),"",SUMIFS($I$2:$I$301,$A$2:$A$301,A143,$B$2:$B$301,B143))</x:f>
      </x:c>
      <x:c r="T143" s="233" t="str">
        <x:f>IF(B143="","",IF(ABS(S143-1)&gt;0.000001,"ERROR_SHARE",IF(OR(Q143&lt;&gt;"VERIFIED",R143&lt;&gt;"VERIFIED"),"CHECK_MAPPING","OK")))</x:f>
      </x:c>
      <x:c r="U143" s="297"/>
    </x:row>
    <x:row r="144">
      <x:c r="A144" s="293"/>
      <x:c r="B144" s="235"/>
      <x:c r="C144" s="294"/>
      <x:c r="D144" s="294"/>
      <x:c r="E144" s="314"/>
      <x:c r="F144" s="307" t="str">
        <x:f>IF(OR(A144="",B144="",C144=""),"",SUMIFS('04_SAKERNAS_AGG'!$K$2:$K$301,'04_SAKERNAS_AGG'!$E$2:$E$301,A144,'04_SAKERNAS_AGG'!$F$2:$F$301,B144,'04_SAKERNAS_AGG'!$H$2:$H$301,C144))</x:f>
      </x:c>
      <x:c r="G144" s="307" t="str">
        <x:f>IF(OR(E144="",F144=""),"",E144*F144)</x:f>
      </x:c>
      <x:c r="H144" s="307" t="str">
        <x:f>IF(OR(A144="",B144="",G144=""),"",SUMIFS($G$2:$G$301,$A$2:$A$301,A144,$B$2:$B$301,B144))</x:f>
      </x:c>
      <x:c r="I144" s="308" t="str">
        <x:f>IFERROR(G144/H144,"")</x:f>
      </x:c>
      <x:c r="J144" s="235"/>
      <x:c r="K144" s="235"/>
      <x:c r="L144" s="235"/>
      <x:c r="M144" s="235"/>
      <x:c r="N144" s="315" t="str">
        <x:f>IF(OR(I144="",K144=""),"",100*I144*K144)</x:f>
      </x:c>
      <x:c r="O144" s="308" t="str">
        <x:f>IF(OR(I144="",M144=""),"",I144*M144)</x:f>
      </x:c>
      <x:c r="P144" s="235"/>
      <x:c r="Q144" s="235"/>
      <x:c r="R144" s="235"/>
      <x:c r="S144" s="308" t="str">
        <x:f>IF(OR(A144="",B144=""),"",SUMIFS($I$2:$I$301,$A$2:$A$301,A144,$B$2:$B$301,B144))</x:f>
      </x:c>
      <x:c r="T144" s="233" t="str">
        <x:f>IF(B144="","",IF(ABS(S144-1)&gt;0.000001,"ERROR_SHARE",IF(OR(Q144&lt;&gt;"VERIFIED",R144&lt;&gt;"VERIFIED"),"CHECK_MAPPING","OK")))</x:f>
      </x:c>
      <x:c r="U144" s="297"/>
    </x:row>
    <x:row r="145">
      <x:c r="A145" s="293"/>
      <x:c r="B145" s="235"/>
      <x:c r="C145" s="294"/>
      <x:c r="D145" s="294"/>
      <x:c r="E145" s="314"/>
      <x:c r="F145" s="307" t="str">
        <x:f>IF(OR(A145="",B145="",C145=""),"",SUMIFS('04_SAKERNAS_AGG'!$K$2:$K$301,'04_SAKERNAS_AGG'!$E$2:$E$301,A145,'04_SAKERNAS_AGG'!$F$2:$F$301,B145,'04_SAKERNAS_AGG'!$H$2:$H$301,C145))</x:f>
      </x:c>
      <x:c r="G145" s="307" t="str">
        <x:f>IF(OR(E145="",F145=""),"",E145*F145)</x:f>
      </x:c>
      <x:c r="H145" s="307" t="str">
        <x:f>IF(OR(A145="",B145="",G145=""),"",SUMIFS($G$2:$G$301,$A$2:$A$301,A145,$B$2:$B$301,B145))</x:f>
      </x:c>
      <x:c r="I145" s="308" t="str">
        <x:f>IFERROR(G145/H145,"")</x:f>
      </x:c>
      <x:c r="J145" s="235"/>
      <x:c r="K145" s="235"/>
      <x:c r="L145" s="235"/>
      <x:c r="M145" s="235"/>
      <x:c r="N145" s="315" t="str">
        <x:f>IF(OR(I145="",K145=""),"",100*I145*K145)</x:f>
      </x:c>
      <x:c r="O145" s="308" t="str">
        <x:f>IF(OR(I145="",M145=""),"",I145*M145)</x:f>
      </x:c>
      <x:c r="P145" s="235"/>
      <x:c r="Q145" s="235"/>
      <x:c r="R145" s="235"/>
      <x:c r="S145" s="308" t="str">
        <x:f>IF(OR(A145="",B145=""),"",SUMIFS($I$2:$I$301,$A$2:$A$301,A145,$B$2:$B$301,B145))</x:f>
      </x:c>
      <x:c r="T145" s="233" t="str">
        <x:f>IF(B145="","",IF(ABS(S145-1)&gt;0.000001,"ERROR_SHARE",IF(OR(Q145&lt;&gt;"VERIFIED",R145&lt;&gt;"VERIFIED"),"CHECK_MAPPING","OK")))</x:f>
      </x:c>
      <x:c r="U145" s="297"/>
    </x:row>
    <x:row r="146">
      <x:c r="A146" s="293"/>
      <x:c r="B146" s="235"/>
      <x:c r="C146" s="294"/>
      <x:c r="D146" s="294"/>
      <x:c r="E146" s="314"/>
      <x:c r="F146" s="307" t="str">
        <x:f>IF(OR(A146="",B146="",C146=""),"",SUMIFS('04_SAKERNAS_AGG'!$K$2:$K$301,'04_SAKERNAS_AGG'!$E$2:$E$301,A146,'04_SAKERNAS_AGG'!$F$2:$F$301,B146,'04_SAKERNAS_AGG'!$H$2:$H$301,C146))</x:f>
      </x:c>
      <x:c r="G146" s="307" t="str">
        <x:f>IF(OR(E146="",F146=""),"",E146*F146)</x:f>
      </x:c>
      <x:c r="H146" s="307" t="str">
        <x:f>IF(OR(A146="",B146="",G146=""),"",SUMIFS($G$2:$G$301,$A$2:$A$301,A146,$B$2:$B$301,B146))</x:f>
      </x:c>
      <x:c r="I146" s="308" t="str">
        <x:f>IFERROR(G146/H146,"")</x:f>
      </x:c>
      <x:c r="J146" s="235"/>
      <x:c r="K146" s="235"/>
      <x:c r="L146" s="235"/>
      <x:c r="M146" s="235"/>
      <x:c r="N146" s="315" t="str">
        <x:f>IF(OR(I146="",K146=""),"",100*I146*K146)</x:f>
      </x:c>
      <x:c r="O146" s="308" t="str">
        <x:f>IF(OR(I146="",M146=""),"",I146*M146)</x:f>
      </x:c>
      <x:c r="P146" s="235"/>
      <x:c r="Q146" s="235"/>
      <x:c r="R146" s="235"/>
      <x:c r="S146" s="308" t="str">
        <x:f>IF(OR(A146="",B146=""),"",SUMIFS($I$2:$I$301,$A$2:$A$301,A146,$B$2:$B$301,B146))</x:f>
      </x:c>
      <x:c r="T146" s="233" t="str">
        <x:f>IF(B146="","",IF(ABS(S146-1)&gt;0.000001,"ERROR_SHARE",IF(OR(Q146&lt;&gt;"VERIFIED",R146&lt;&gt;"VERIFIED"),"CHECK_MAPPING","OK")))</x:f>
      </x:c>
      <x:c r="U146" s="297"/>
    </x:row>
    <x:row r="147">
      <x:c r="A147" s="293"/>
      <x:c r="B147" s="235"/>
      <x:c r="C147" s="294"/>
      <x:c r="D147" s="294"/>
      <x:c r="E147" s="314"/>
      <x:c r="F147" s="307" t="str">
        <x:f>IF(OR(A147="",B147="",C147=""),"",SUMIFS('04_SAKERNAS_AGG'!$K$2:$K$301,'04_SAKERNAS_AGG'!$E$2:$E$301,A147,'04_SAKERNAS_AGG'!$F$2:$F$301,B147,'04_SAKERNAS_AGG'!$H$2:$H$301,C147))</x:f>
      </x:c>
      <x:c r="G147" s="307" t="str">
        <x:f>IF(OR(E147="",F147=""),"",E147*F147)</x:f>
      </x:c>
      <x:c r="H147" s="307" t="str">
        <x:f>IF(OR(A147="",B147="",G147=""),"",SUMIFS($G$2:$G$301,$A$2:$A$301,A147,$B$2:$B$301,B147))</x:f>
      </x:c>
      <x:c r="I147" s="308" t="str">
        <x:f>IFERROR(G147/H147,"")</x:f>
      </x:c>
      <x:c r="J147" s="235"/>
      <x:c r="K147" s="235"/>
      <x:c r="L147" s="235"/>
      <x:c r="M147" s="235"/>
      <x:c r="N147" s="315" t="str">
        <x:f>IF(OR(I147="",K147=""),"",100*I147*K147)</x:f>
      </x:c>
      <x:c r="O147" s="308" t="str">
        <x:f>IF(OR(I147="",M147=""),"",I147*M147)</x:f>
      </x:c>
      <x:c r="P147" s="235"/>
      <x:c r="Q147" s="235"/>
      <x:c r="R147" s="235"/>
      <x:c r="S147" s="308" t="str">
        <x:f>IF(OR(A147="",B147=""),"",SUMIFS($I$2:$I$301,$A$2:$A$301,A147,$B$2:$B$301,B147))</x:f>
      </x:c>
      <x:c r="T147" s="233" t="str">
        <x:f>IF(B147="","",IF(ABS(S147-1)&gt;0.000001,"ERROR_SHARE",IF(OR(Q147&lt;&gt;"VERIFIED",R147&lt;&gt;"VERIFIED"),"CHECK_MAPPING","OK")))</x:f>
      </x:c>
      <x:c r="U147" s="297"/>
    </x:row>
    <x:row r="148">
      <x:c r="A148" s="293"/>
      <x:c r="B148" s="235"/>
      <x:c r="C148" s="294"/>
      <x:c r="D148" s="294"/>
      <x:c r="E148" s="314"/>
      <x:c r="F148" s="307" t="str">
        <x:f>IF(OR(A148="",B148="",C148=""),"",SUMIFS('04_SAKERNAS_AGG'!$K$2:$K$301,'04_SAKERNAS_AGG'!$E$2:$E$301,A148,'04_SAKERNAS_AGG'!$F$2:$F$301,B148,'04_SAKERNAS_AGG'!$H$2:$H$301,C148))</x:f>
      </x:c>
      <x:c r="G148" s="307" t="str">
        <x:f>IF(OR(E148="",F148=""),"",E148*F148)</x:f>
      </x:c>
      <x:c r="H148" s="307" t="str">
        <x:f>IF(OR(A148="",B148="",G148=""),"",SUMIFS($G$2:$G$301,$A$2:$A$301,A148,$B$2:$B$301,B148))</x:f>
      </x:c>
      <x:c r="I148" s="308" t="str">
        <x:f>IFERROR(G148/H148,"")</x:f>
      </x:c>
      <x:c r="J148" s="235"/>
      <x:c r="K148" s="235"/>
      <x:c r="L148" s="235"/>
      <x:c r="M148" s="235"/>
      <x:c r="N148" s="315" t="str">
        <x:f>IF(OR(I148="",K148=""),"",100*I148*K148)</x:f>
      </x:c>
      <x:c r="O148" s="308" t="str">
        <x:f>IF(OR(I148="",M148=""),"",I148*M148)</x:f>
      </x:c>
      <x:c r="P148" s="235"/>
      <x:c r="Q148" s="235"/>
      <x:c r="R148" s="235"/>
      <x:c r="S148" s="308" t="str">
        <x:f>IF(OR(A148="",B148=""),"",SUMIFS($I$2:$I$301,$A$2:$A$301,A148,$B$2:$B$301,B148))</x:f>
      </x:c>
      <x:c r="T148" s="233" t="str">
        <x:f>IF(B148="","",IF(ABS(S148-1)&gt;0.000001,"ERROR_SHARE",IF(OR(Q148&lt;&gt;"VERIFIED",R148&lt;&gt;"VERIFIED"),"CHECK_MAPPING","OK")))</x:f>
      </x:c>
      <x:c r="U148" s="297"/>
    </x:row>
    <x:row r="149">
      <x:c r="A149" s="293"/>
      <x:c r="B149" s="235"/>
      <x:c r="C149" s="294"/>
      <x:c r="D149" s="294"/>
      <x:c r="E149" s="314"/>
      <x:c r="F149" s="307" t="str">
        <x:f>IF(OR(A149="",B149="",C149=""),"",SUMIFS('04_SAKERNAS_AGG'!$K$2:$K$301,'04_SAKERNAS_AGG'!$E$2:$E$301,A149,'04_SAKERNAS_AGG'!$F$2:$F$301,B149,'04_SAKERNAS_AGG'!$H$2:$H$301,C149))</x:f>
      </x:c>
      <x:c r="G149" s="307" t="str">
        <x:f>IF(OR(E149="",F149=""),"",E149*F149)</x:f>
      </x:c>
      <x:c r="H149" s="307" t="str">
        <x:f>IF(OR(A149="",B149="",G149=""),"",SUMIFS($G$2:$G$301,$A$2:$A$301,A149,$B$2:$B$301,B149))</x:f>
      </x:c>
      <x:c r="I149" s="308" t="str">
        <x:f>IFERROR(G149/H149,"")</x:f>
      </x:c>
      <x:c r="J149" s="235"/>
      <x:c r="K149" s="235"/>
      <x:c r="L149" s="235"/>
      <x:c r="M149" s="235"/>
      <x:c r="N149" s="315" t="str">
        <x:f>IF(OR(I149="",K149=""),"",100*I149*K149)</x:f>
      </x:c>
      <x:c r="O149" s="308" t="str">
        <x:f>IF(OR(I149="",M149=""),"",I149*M149)</x:f>
      </x:c>
      <x:c r="P149" s="235"/>
      <x:c r="Q149" s="235"/>
      <x:c r="R149" s="235"/>
      <x:c r="S149" s="308" t="str">
        <x:f>IF(OR(A149="",B149=""),"",SUMIFS($I$2:$I$301,$A$2:$A$301,A149,$B$2:$B$301,B149))</x:f>
      </x:c>
      <x:c r="T149" s="233" t="str">
        <x:f>IF(B149="","",IF(ABS(S149-1)&gt;0.000001,"ERROR_SHARE",IF(OR(Q149&lt;&gt;"VERIFIED",R149&lt;&gt;"VERIFIED"),"CHECK_MAPPING","OK")))</x:f>
      </x:c>
      <x:c r="U149" s="297"/>
    </x:row>
    <x:row r="150">
      <x:c r="A150" s="293"/>
      <x:c r="B150" s="235"/>
      <x:c r="C150" s="294"/>
      <x:c r="D150" s="294"/>
      <x:c r="E150" s="314"/>
      <x:c r="F150" s="307" t="str">
        <x:f>IF(OR(A150="",B150="",C150=""),"",SUMIFS('04_SAKERNAS_AGG'!$K$2:$K$301,'04_SAKERNAS_AGG'!$E$2:$E$301,A150,'04_SAKERNAS_AGG'!$F$2:$F$301,B150,'04_SAKERNAS_AGG'!$H$2:$H$301,C150))</x:f>
      </x:c>
      <x:c r="G150" s="307" t="str">
        <x:f>IF(OR(E150="",F150=""),"",E150*F150)</x:f>
      </x:c>
      <x:c r="H150" s="307" t="str">
        <x:f>IF(OR(A150="",B150="",G150=""),"",SUMIFS($G$2:$G$301,$A$2:$A$301,A150,$B$2:$B$301,B150))</x:f>
      </x:c>
      <x:c r="I150" s="308" t="str">
        <x:f>IFERROR(G150/H150,"")</x:f>
      </x:c>
      <x:c r="J150" s="235"/>
      <x:c r="K150" s="235"/>
      <x:c r="L150" s="235"/>
      <x:c r="M150" s="235"/>
      <x:c r="N150" s="315" t="str">
        <x:f>IF(OR(I150="",K150=""),"",100*I150*K150)</x:f>
      </x:c>
      <x:c r="O150" s="308" t="str">
        <x:f>IF(OR(I150="",M150=""),"",I150*M150)</x:f>
      </x:c>
      <x:c r="P150" s="235"/>
      <x:c r="Q150" s="235"/>
      <x:c r="R150" s="235"/>
      <x:c r="S150" s="308" t="str">
        <x:f>IF(OR(A150="",B150=""),"",SUMIFS($I$2:$I$301,$A$2:$A$301,A150,$B$2:$B$301,B150))</x:f>
      </x:c>
      <x:c r="T150" s="233" t="str">
        <x:f>IF(B150="","",IF(ABS(S150-1)&gt;0.000001,"ERROR_SHARE",IF(OR(Q150&lt;&gt;"VERIFIED",R150&lt;&gt;"VERIFIED"),"CHECK_MAPPING","OK")))</x:f>
      </x:c>
      <x:c r="U150" s="297"/>
    </x:row>
    <x:row r="151">
      <x:c r="A151" s="293"/>
      <x:c r="B151" s="235"/>
      <x:c r="C151" s="294"/>
      <x:c r="D151" s="294"/>
      <x:c r="E151" s="314"/>
      <x:c r="F151" s="307" t="str">
        <x:f>IF(OR(A151="",B151="",C151=""),"",SUMIFS('04_SAKERNAS_AGG'!$K$2:$K$301,'04_SAKERNAS_AGG'!$E$2:$E$301,A151,'04_SAKERNAS_AGG'!$F$2:$F$301,B151,'04_SAKERNAS_AGG'!$H$2:$H$301,C151))</x:f>
      </x:c>
      <x:c r="G151" s="307" t="str">
        <x:f>IF(OR(E151="",F151=""),"",E151*F151)</x:f>
      </x:c>
      <x:c r="H151" s="307" t="str">
        <x:f>IF(OR(A151="",B151="",G151=""),"",SUMIFS($G$2:$G$301,$A$2:$A$301,A151,$B$2:$B$301,B151))</x:f>
      </x:c>
      <x:c r="I151" s="308" t="str">
        <x:f>IFERROR(G151/H151,"")</x:f>
      </x:c>
      <x:c r="J151" s="235"/>
      <x:c r="K151" s="235"/>
      <x:c r="L151" s="235"/>
      <x:c r="M151" s="235"/>
      <x:c r="N151" s="315" t="str">
        <x:f>IF(OR(I151="",K151=""),"",100*I151*K151)</x:f>
      </x:c>
      <x:c r="O151" s="308" t="str">
        <x:f>IF(OR(I151="",M151=""),"",I151*M151)</x:f>
      </x:c>
      <x:c r="P151" s="235"/>
      <x:c r="Q151" s="235"/>
      <x:c r="R151" s="235"/>
      <x:c r="S151" s="308" t="str">
        <x:f>IF(OR(A151="",B151=""),"",SUMIFS($I$2:$I$301,$A$2:$A$301,A151,$B$2:$B$301,B151))</x:f>
      </x:c>
      <x:c r="T151" s="233" t="str">
        <x:f>IF(B151="","",IF(ABS(S151-1)&gt;0.000001,"ERROR_SHARE",IF(OR(Q151&lt;&gt;"VERIFIED",R151&lt;&gt;"VERIFIED"),"CHECK_MAPPING","OK")))</x:f>
      </x:c>
      <x:c r="U151" s="297"/>
    </x:row>
    <x:row r="152">
      <x:c r="A152" s="293"/>
      <x:c r="B152" s="235"/>
      <x:c r="C152" s="294"/>
      <x:c r="D152" s="294"/>
      <x:c r="E152" s="314"/>
      <x:c r="F152" s="307" t="str">
        <x:f>IF(OR(A152="",B152="",C152=""),"",SUMIFS('04_SAKERNAS_AGG'!$K$2:$K$301,'04_SAKERNAS_AGG'!$E$2:$E$301,A152,'04_SAKERNAS_AGG'!$F$2:$F$301,B152,'04_SAKERNAS_AGG'!$H$2:$H$301,C152))</x:f>
      </x:c>
      <x:c r="G152" s="307" t="str">
        <x:f>IF(OR(E152="",F152=""),"",E152*F152)</x:f>
      </x:c>
      <x:c r="H152" s="307" t="str">
        <x:f>IF(OR(A152="",B152="",G152=""),"",SUMIFS($G$2:$G$301,$A$2:$A$301,A152,$B$2:$B$301,B152))</x:f>
      </x:c>
      <x:c r="I152" s="308" t="str">
        <x:f>IFERROR(G152/H152,"")</x:f>
      </x:c>
      <x:c r="J152" s="235"/>
      <x:c r="K152" s="235"/>
      <x:c r="L152" s="235"/>
      <x:c r="M152" s="235"/>
      <x:c r="N152" s="315" t="str">
        <x:f>IF(OR(I152="",K152=""),"",100*I152*K152)</x:f>
      </x:c>
      <x:c r="O152" s="308" t="str">
        <x:f>IF(OR(I152="",M152=""),"",I152*M152)</x:f>
      </x:c>
      <x:c r="P152" s="235"/>
      <x:c r="Q152" s="235"/>
      <x:c r="R152" s="235"/>
      <x:c r="S152" s="308" t="str">
        <x:f>IF(OR(A152="",B152=""),"",SUMIFS($I$2:$I$301,$A$2:$A$301,A152,$B$2:$B$301,B152))</x:f>
      </x:c>
      <x:c r="T152" s="233" t="str">
        <x:f>IF(B152="","",IF(ABS(S152-1)&gt;0.000001,"ERROR_SHARE",IF(OR(Q152&lt;&gt;"VERIFIED",R152&lt;&gt;"VERIFIED"),"CHECK_MAPPING","OK")))</x:f>
      </x:c>
      <x:c r="U152" s="297"/>
    </x:row>
    <x:row r="153">
      <x:c r="A153" s="293"/>
      <x:c r="B153" s="235"/>
      <x:c r="C153" s="294"/>
      <x:c r="D153" s="294"/>
      <x:c r="E153" s="314"/>
      <x:c r="F153" s="307" t="str">
        <x:f>IF(OR(A153="",B153="",C153=""),"",SUMIFS('04_SAKERNAS_AGG'!$K$2:$K$301,'04_SAKERNAS_AGG'!$E$2:$E$301,A153,'04_SAKERNAS_AGG'!$F$2:$F$301,B153,'04_SAKERNAS_AGG'!$H$2:$H$301,C153))</x:f>
      </x:c>
      <x:c r="G153" s="307" t="str">
        <x:f>IF(OR(E153="",F153=""),"",E153*F153)</x:f>
      </x:c>
      <x:c r="H153" s="307" t="str">
        <x:f>IF(OR(A153="",B153="",G153=""),"",SUMIFS($G$2:$G$301,$A$2:$A$301,A153,$B$2:$B$301,B153))</x:f>
      </x:c>
      <x:c r="I153" s="308" t="str">
        <x:f>IFERROR(G153/H153,"")</x:f>
      </x:c>
      <x:c r="J153" s="235"/>
      <x:c r="K153" s="235"/>
      <x:c r="L153" s="235"/>
      <x:c r="M153" s="235"/>
      <x:c r="N153" s="315" t="str">
        <x:f>IF(OR(I153="",K153=""),"",100*I153*K153)</x:f>
      </x:c>
      <x:c r="O153" s="308" t="str">
        <x:f>IF(OR(I153="",M153=""),"",I153*M153)</x:f>
      </x:c>
      <x:c r="P153" s="235"/>
      <x:c r="Q153" s="235"/>
      <x:c r="R153" s="235"/>
      <x:c r="S153" s="308" t="str">
        <x:f>IF(OR(A153="",B153=""),"",SUMIFS($I$2:$I$301,$A$2:$A$301,A153,$B$2:$B$301,B153))</x:f>
      </x:c>
      <x:c r="T153" s="233" t="str">
        <x:f>IF(B153="","",IF(ABS(S153-1)&gt;0.000001,"ERROR_SHARE",IF(OR(Q153&lt;&gt;"VERIFIED",R153&lt;&gt;"VERIFIED"),"CHECK_MAPPING","OK")))</x:f>
      </x:c>
      <x:c r="U153" s="297"/>
    </x:row>
    <x:row r="154">
      <x:c r="A154" s="293"/>
      <x:c r="B154" s="235"/>
      <x:c r="C154" s="294"/>
      <x:c r="D154" s="294"/>
      <x:c r="E154" s="314"/>
      <x:c r="F154" s="307" t="str">
        <x:f>IF(OR(A154="",B154="",C154=""),"",SUMIFS('04_SAKERNAS_AGG'!$K$2:$K$301,'04_SAKERNAS_AGG'!$E$2:$E$301,A154,'04_SAKERNAS_AGG'!$F$2:$F$301,B154,'04_SAKERNAS_AGG'!$H$2:$H$301,C154))</x:f>
      </x:c>
      <x:c r="G154" s="307" t="str">
        <x:f>IF(OR(E154="",F154=""),"",E154*F154)</x:f>
      </x:c>
      <x:c r="H154" s="307" t="str">
        <x:f>IF(OR(A154="",B154="",G154=""),"",SUMIFS($G$2:$G$301,$A$2:$A$301,A154,$B$2:$B$301,B154))</x:f>
      </x:c>
      <x:c r="I154" s="308" t="str">
        <x:f>IFERROR(G154/H154,"")</x:f>
      </x:c>
      <x:c r="J154" s="235"/>
      <x:c r="K154" s="235"/>
      <x:c r="L154" s="235"/>
      <x:c r="M154" s="235"/>
      <x:c r="N154" s="315" t="str">
        <x:f>IF(OR(I154="",K154=""),"",100*I154*K154)</x:f>
      </x:c>
      <x:c r="O154" s="308" t="str">
        <x:f>IF(OR(I154="",M154=""),"",I154*M154)</x:f>
      </x:c>
      <x:c r="P154" s="235"/>
      <x:c r="Q154" s="235"/>
      <x:c r="R154" s="235"/>
      <x:c r="S154" s="308" t="str">
        <x:f>IF(OR(A154="",B154=""),"",SUMIFS($I$2:$I$301,$A$2:$A$301,A154,$B$2:$B$301,B154))</x:f>
      </x:c>
      <x:c r="T154" s="233" t="str">
        <x:f>IF(B154="","",IF(ABS(S154-1)&gt;0.000001,"ERROR_SHARE",IF(OR(Q154&lt;&gt;"VERIFIED",R154&lt;&gt;"VERIFIED"),"CHECK_MAPPING","OK")))</x:f>
      </x:c>
      <x:c r="U154" s="297"/>
    </x:row>
    <x:row r="155">
      <x:c r="A155" s="293"/>
      <x:c r="B155" s="235"/>
      <x:c r="C155" s="294"/>
      <x:c r="D155" s="294"/>
      <x:c r="E155" s="314"/>
      <x:c r="F155" s="307" t="str">
        <x:f>IF(OR(A155="",B155="",C155=""),"",SUMIFS('04_SAKERNAS_AGG'!$K$2:$K$301,'04_SAKERNAS_AGG'!$E$2:$E$301,A155,'04_SAKERNAS_AGG'!$F$2:$F$301,B155,'04_SAKERNAS_AGG'!$H$2:$H$301,C155))</x:f>
      </x:c>
      <x:c r="G155" s="307" t="str">
        <x:f>IF(OR(E155="",F155=""),"",E155*F155)</x:f>
      </x:c>
      <x:c r="H155" s="307" t="str">
        <x:f>IF(OR(A155="",B155="",G155=""),"",SUMIFS($G$2:$G$301,$A$2:$A$301,A155,$B$2:$B$301,B155))</x:f>
      </x:c>
      <x:c r="I155" s="308" t="str">
        <x:f>IFERROR(G155/H155,"")</x:f>
      </x:c>
      <x:c r="J155" s="235"/>
      <x:c r="K155" s="235"/>
      <x:c r="L155" s="235"/>
      <x:c r="M155" s="235"/>
      <x:c r="N155" s="315" t="str">
        <x:f>IF(OR(I155="",K155=""),"",100*I155*K155)</x:f>
      </x:c>
      <x:c r="O155" s="308" t="str">
        <x:f>IF(OR(I155="",M155=""),"",I155*M155)</x:f>
      </x:c>
      <x:c r="P155" s="235"/>
      <x:c r="Q155" s="235"/>
      <x:c r="R155" s="235"/>
      <x:c r="S155" s="308" t="str">
        <x:f>IF(OR(A155="",B155=""),"",SUMIFS($I$2:$I$301,$A$2:$A$301,A155,$B$2:$B$301,B155))</x:f>
      </x:c>
      <x:c r="T155" s="233" t="str">
        <x:f>IF(B155="","",IF(ABS(S155-1)&gt;0.000001,"ERROR_SHARE",IF(OR(Q155&lt;&gt;"VERIFIED",R155&lt;&gt;"VERIFIED"),"CHECK_MAPPING","OK")))</x:f>
      </x:c>
      <x:c r="U155" s="297"/>
    </x:row>
    <x:row r="156">
      <x:c r="A156" s="293"/>
      <x:c r="B156" s="235"/>
      <x:c r="C156" s="294"/>
      <x:c r="D156" s="294"/>
      <x:c r="E156" s="314"/>
      <x:c r="F156" s="307" t="str">
        <x:f>IF(OR(A156="",B156="",C156=""),"",SUMIFS('04_SAKERNAS_AGG'!$K$2:$K$301,'04_SAKERNAS_AGG'!$E$2:$E$301,A156,'04_SAKERNAS_AGG'!$F$2:$F$301,B156,'04_SAKERNAS_AGG'!$H$2:$H$301,C156))</x:f>
      </x:c>
      <x:c r="G156" s="307" t="str">
        <x:f>IF(OR(E156="",F156=""),"",E156*F156)</x:f>
      </x:c>
      <x:c r="H156" s="307" t="str">
        <x:f>IF(OR(A156="",B156="",G156=""),"",SUMIFS($G$2:$G$301,$A$2:$A$301,A156,$B$2:$B$301,B156))</x:f>
      </x:c>
      <x:c r="I156" s="308" t="str">
        <x:f>IFERROR(G156/H156,"")</x:f>
      </x:c>
      <x:c r="J156" s="235"/>
      <x:c r="K156" s="235"/>
      <x:c r="L156" s="235"/>
      <x:c r="M156" s="235"/>
      <x:c r="N156" s="315" t="str">
        <x:f>IF(OR(I156="",K156=""),"",100*I156*K156)</x:f>
      </x:c>
      <x:c r="O156" s="308" t="str">
        <x:f>IF(OR(I156="",M156=""),"",I156*M156)</x:f>
      </x:c>
      <x:c r="P156" s="235"/>
      <x:c r="Q156" s="235"/>
      <x:c r="R156" s="235"/>
      <x:c r="S156" s="308" t="str">
        <x:f>IF(OR(A156="",B156=""),"",SUMIFS($I$2:$I$301,$A$2:$A$301,A156,$B$2:$B$301,B156))</x:f>
      </x:c>
      <x:c r="T156" s="233" t="str">
        <x:f>IF(B156="","",IF(ABS(S156-1)&gt;0.000001,"ERROR_SHARE",IF(OR(Q156&lt;&gt;"VERIFIED",R156&lt;&gt;"VERIFIED"),"CHECK_MAPPING","OK")))</x:f>
      </x:c>
      <x:c r="U156" s="297"/>
    </x:row>
    <x:row r="157">
      <x:c r="A157" s="293"/>
      <x:c r="B157" s="235"/>
      <x:c r="C157" s="294"/>
      <x:c r="D157" s="294"/>
      <x:c r="E157" s="314"/>
      <x:c r="F157" s="307" t="str">
        <x:f>IF(OR(A157="",B157="",C157=""),"",SUMIFS('04_SAKERNAS_AGG'!$K$2:$K$301,'04_SAKERNAS_AGG'!$E$2:$E$301,A157,'04_SAKERNAS_AGG'!$F$2:$F$301,B157,'04_SAKERNAS_AGG'!$H$2:$H$301,C157))</x:f>
      </x:c>
      <x:c r="G157" s="307" t="str">
        <x:f>IF(OR(E157="",F157=""),"",E157*F157)</x:f>
      </x:c>
      <x:c r="H157" s="307" t="str">
        <x:f>IF(OR(A157="",B157="",G157=""),"",SUMIFS($G$2:$G$301,$A$2:$A$301,A157,$B$2:$B$301,B157))</x:f>
      </x:c>
      <x:c r="I157" s="308" t="str">
        <x:f>IFERROR(G157/H157,"")</x:f>
      </x:c>
      <x:c r="J157" s="235"/>
      <x:c r="K157" s="235"/>
      <x:c r="L157" s="235"/>
      <x:c r="M157" s="235"/>
      <x:c r="N157" s="315" t="str">
        <x:f>IF(OR(I157="",K157=""),"",100*I157*K157)</x:f>
      </x:c>
      <x:c r="O157" s="308" t="str">
        <x:f>IF(OR(I157="",M157=""),"",I157*M157)</x:f>
      </x:c>
      <x:c r="P157" s="235"/>
      <x:c r="Q157" s="235"/>
      <x:c r="R157" s="235"/>
      <x:c r="S157" s="308" t="str">
        <x:f>IF(OR(A157="",B157=""),"",SUMIFS($I$2:$I$301,$A$2:$A$301,A157,$B$2:$B$301,B157))</x:f>
      </x:c>
      <x:c r="T157" s="233" t="str">
        <x:f>IF(B157="","",IF(ABS(S157-1)&gt;0.000001,"ERROR_SHARE",IF(OR(Q157&lt;&gt;"VERIFIED",R157&lt;&gt;"VERIFIED"),"CHECK_MAPPING","OK")))</x:f>
      </x:c>
      <x:c r="U157" s="297"/>
    </x:row>
    <x:row r="158">
      <x:c r="A158" s="293"/>
      <x:c r="B158" s="235"/>
      <x:c r="C158" s="294"/>
      <x:c r="D158" s="294"/>
      <x:c r="E158" s="314"/>
      <x:c r="F158" s="307" t="str">
        <x:f>IF(OR(A158="",B158="",C158=""),"",SUMIFS('04_SAKERNAS_AGG'!$K$2:$K$301,'04_SAKERNAS_AGG'!$E$2:$E$301,A158,'04_SAKERNAS_AGG'!$F$2:$F$301,B158,'04_SAKERNAS_AGG'!$H$2:$H$301,C158))</x:f>
      </x:c>
      <x:c r="G158" s="307" t="str">
        <x:f>IF(OR(E158="",F158=""),"",E158*F158)</x:f>
      </x:c>
      <x:c r="H158" s="307" t="str">
        <x:f>IF(OR(A158="",B158="",G158=""),"",SUMIFS($G$2:$G$301,$A$2:$A$301,A158,$B$2:$B$301,B158))</x:f>
      </x:c>
      <x:c r="I158" s="308" t="str">
        <x:f>IFERROR(G158/H158,"")</x:f>
      </x:c>
      <x:c r="J158" s="235"/>
      <x:c r="K158" s="235"/>
      <x:c r="L158" s="235"/>
      <x:c r="M158" s="235"/>
      <x:c r="N158" s="315" t="str">
        <x:f>IF(OR(I158="",K158=""),"",100*I158*K158)</x:f>
      </x:c>
      <x:c r="O158" s="308" t="str">
        <x:f>IF(OR(I158="",M158=""),"",I158*M158)</x:f>
      </x:c>
      <x:c r="P158" s="235"/>
      <x:c r="Q158" s="235"/>
      <x:c r="R158" s="235"/>
      <x:c r="S158" s="308" t="str">
        <x:f>IF(OR(A158="",B158=""),"",SUMIFS($I$2:$I$301,$A$2:$A$301,A158,$B$2:$B$301,B158))</x:f>
      </x:c>
      <x:c r="T158" s="233" t="str">
        <x:f>IF(B158="","",IF(ABS(S158-1)&gt;0.000001,"ERROR_SHARE",IF(OR(Q158&lt;&gt;"VERIFIED",R158&lt;&gt;"VERIFIED"),"CHECK_MAPPING","OK")))</x:f>
      </x:c>
      <x:c r="U158" s="297"/>
    </x:row>
    <x:row r="159">
      <x:c r="A159" s="293"/>
      <x:c r="B159" s="235"/>
      <x:c r="C159" s="294"/>
      <x:c r="D159" s="294"/>
      <x:c r="E159" s="314"/>
      <x:c r="F159" s="307" t="str">
        <x:f>IF(OR(A159="",B159="",C159=""),"",SUMIFS('04_SAKERNAS_AGG'!$K$2:$K$301,'04_SAKERNAS_AGG'!$E$2:$E$301,A159,'04_SAKERNAS_AGG'!$F$2:$F$301,B159,'04_SAKERNAS_AGG'!$H$2:$H$301,C159))</x:f>
      </x:c>
      <x:c r="G159" s="307" t="str">
        <x:f>IF(OR(E159="",F159=""),"",E159*F159)</x:f>
      </x:c>
      <x:c r="H159" s="307" t="str">
        <x:f>IF(OR(A159="",B159="",G159=""),"",SUMIFS($G$2:$G$301,$A$2:$A$301,A159,$B$2:$B$301,B159))</x:f>
      </x:c>
      <x:c r="I159" s="308" t="str">
        <x:f>IFERROR(G159/H159,"")</x:f>
      </x:c>
      <x:c r="J159" s="235"/>
      <x:c r="K159" s="235"/>
      <x:c r="L159" s="235"/>
      <x:c r="M159" s="235"/>
      <x:c r="N159" s="315" t="str">
        <x:f>IF(OR(I159="",K159=""),"",100*I159*K159)</x:f>
      </x:c>
      <x:c r="O159" s="308" t="str">
        <x:f>IF(OR(I159="",M159=""),"",I159*M159)</x:f>
      </x:c>
      <x:c r="P159" s="235"/>
      <x:c r="Q159" s="235"/>
      <x:c r="R159" s="235"/>
      <x:c r="S159" s="308" t="str">
        <x:f>IF(OR(A159="",B159=""),"",SUMIFS($I$2:$I$301,$A$2:$A$301,A159,$B$2:$B$301,B159))</x:f>
      </x:c>
      <x:c r="T159" s="233" t="str">
        <x:f>IF(B159="","",IF(ABS(S159-1)&gt;0.000001,"ERROR_SHARE",IF(OR(Q159&lt;&gt;"VERIFIED",R159&lt;&gt;"VERIFIED"),"CHECK_MAPPING","OK")))</x:f>
      </x:c>
      <x:c r="U159" s="297"/>
    </x:row>
    <x:row r="160">
      <x:c r="A160" s="293"/>
      <x:c r="B160" s="235"/>
      <x:c r="C160" s="294"/>
      <x:c r="D160" s="294"/>
      <x:c r="E160" s="314"/>
      <x:c r="F160" s="307" t="str">
        <x:f>IF(OR(A160="",B160="",C160=""),"",SUMIFS('04_SAKERNAS_AGG'!$K$2:$K$301,'04_SAKERNAS_AGG'!$E$2:$E$301,A160,'04_SAKERNAS_AGG'!$F$2:$F$301,B160,'04_SAKERNAS_AGG'!$H$2:$H$301,C160))</x:f>
      </x:c>
      <x:c r="G160" s="307" t="str">
        <x:f>IF(OR(E160="",F160=""),"",E160*F160)</x:f>
      </x:c>
      <x:c r="H160" s="307" t="str">
        <x:f>IF(OR(A160="",B160="",G160=""),"",SUMIFS($G$2:$G$301,$A$2:$A$301,A160,$B$2:$B$301,B160))</x:f>
      </x:c>
      <x:c r="I160" s="308" t="str">
        <x:f>IFERROR(G160/H160,"")</x:f>
      </x:c>
      <x:c r="J160" s="235"/>
      <x:c r="K160" s="235"/>
      <x:c r="L160" s="235"/>
      <x:c r="M160" s="235"/>
      <x:c r="N160" s="315" t="str">
        <x:f>IF(OR(I160="",K160=""),"",100*I160*K160)</x:f>
      </x:c>
      <x:c r="O160" s="308" t="str">
        <x:f>IF(OR(I160="",M160=""),"",I160*M160)</x:f>
      </x:c>
      <x:c r="P160" s="235"/>
      <x:c r="Q160" s="235"/>
      <x:c r="R160" s="235"/>
      <x:c r="S160" s="308" t="str">
        <x:f>IF(OR(A160="",B160=""),"",SUMIFS($I$2:$I$301,$A$2:$A$301,A160,$B$2:$B$301,B160))</x:f>
      </x:c>
      <x:c r="T160" s="233" t="str">
        <x:f>IF(B160="","",IF(ABS(S160-1)&gt;0.000001,"ERROR_SHARE",IF(OR(Q160&lt;&gt;"VERIFIED",R160&lt;&gt;"VERIFIED"),"CHECK_MAPPING","OK")))</x:f>
      </x:c>
      <x:c r="U160" s="297"/>
    </x:row>
    <x:row r="161">
      <x:c r="A161" s="293"/>
      <x:c r="B161" s="235"/>
      <x:c r="C161" s="294"/>
      <x:c r="D161" s="294"/>
      <x:c r="E161" s="314"/>
      <x:c r="F161" s="307" t="str">
        <x:f>IF(OR(A161="",B161="",C161=""),"",SUMIFS('04_SAKERNAS_AGG'!$K$2:$K$301,'04_SAKERNAS_AGG'!$E$2:$E$301,A161,'04_SAKERNAS_AGG'!$F$2:$F$301,B161,'04_SAKERNAS_AGG'!$H$2:$H$301,C161))</x:f>
      </x:c>
      <x:c r="G161" s="307" t="str">
        <x:f>IF(OR(E161="",F161=""),"",E161*F161)</x:f>
      </x:c>
      <x:c r="H161" s="307" t="str">
        <x:f>IF(OR(A161="",B161="",G161=""),"",SUMIFS($G$2:$G$301,$A$2:$A$301,A161,$B$2:$B$301,B161))</x:f>
      </x:c>
      <x:c r="I161" s="308" t="str">
        <x:f>IFERROR(G161/H161,"")</x:f>
      </x:c>
      <x:c r="J161" s="235"/>
      <x:c r="K161" s="235"/>
      <x:c r="L161" s="235"/>
      <x:c r="M161" s="235"/>
      <x:c r="N161" s="315" t="str">
        <x:f>IF(OR(I161="",K161=""),"",100*I161*K161)</x:f>
      </x:c>
      <x:c r="O161" s="308" t="str">
        <x:f>IF(OR(I161="",M161=""),"",I161*M161)</x:f>
      </x:c>
      <x:c r="P161" s="235"/>
      <x:c r="Q161" s="235"/>
      <x:c r="R161" s="235"/>
      <x:c r="S161" s="308" t="str">
        <x:f>IF(OR(A161="",B161=""),"",SUMIFS($I$2:$I$301,$A$2:$A$301,A161,$B$2:$B$301,B161))</x:f>
      </x:c>
      <x:c r="T161" s="233" t="str">
        <x:f>IF(B161="","",IF(ABS(S161-1)&gt;0.000001,"ERROR_SHARE",IF(OR(Q161&lt;&gt;"VERIFIED",R161&lt;&gt;"VERIFIED"),"CHECK_MAPPING","OK")))</x:f>
      </x:c>
      <x:c r="U161" s="297"/>
    </x:row>
    <x:row r="162">
      <x:c r="A162" s="293"/>
      <x:c r="B162" s="235"/>
      <x:c r="C162" s="294"/>
      <x:c r="D162" s="294"/>
      <x:c r="E162" s="314"/>
      <x:c r="F162" s="307" t="str">
        <x:f>IF(OR(A162="",B162="",C162=""),"",SUMIFS('04_SAKERNAS_AGG'!$K$2:$K$301,'04_SAKERNAS_AGG'!$E$2:$E$301,A162,'04_SAKERNAS_AGG'!$F$2:$F$301,B162,'04_SAKERNAS_AGG'!$H$2:$H$301,C162))</x:f>
      </x:c>
      <x:c r="G162" s="307" t="str">
        <x:f>IF(OR(E162="",F162=""),"",E162*F162)</x:f>
      </x:c>
      <x:c r="H162" s="307" t="str">
        <x:f>IF(OR(A162="",B162="",G162=""),"",SUMIFS($G$2:$G$301,$A$2:$A$301,A162,$B$2:$B$301,B162))</x:f>
      </x:c>
      <x:c r="I162" s="308" t="str">
        <x:f>IFERROR(G162/H162,"")</x:f>
      </x:c>
      <x:c r="J162" s="235"/>
      <x:c r="K162" s="235"/>
      <x:c r="L162" s="235"/>
      <x:c r="M162" s="235"/>
      <x:c r="N162" s="315" t="str">
        <x:f>IF(OR(I162="",K162=""),"",100*I162*K162)</x:f>
      </x:c>
      <x:c r="O162" s="308" t="str">
        <x:f>IF(OR(I162="",M162=""),"",I162*M162)</x:f>
      </x:c>
      <x:c r="P162" s="235"/>
      <x:c r="Q162" s="235"/>
      <x:c r="R162" s="235"/>
      <x:c r="S162" s="308" t="str">
        <x:f>IF(OR(A162="",B162=""),"",SUMIFS($I$2:$I$301,$A$2:$A$301,A162,$B$2:$B$301,B162))</x:f>
      </x:c>
      <x:c r="T162" s="233" t="str">
        <x:f>IF(B162="","",IF(ABS(S162-1)&gt;0.000001,"ERROR_SHARE",IF(OR(Q162&lt;&gt;"VERIFIED",R162&lt;&gt;"VERIFIED"),"CHECK_MAPPING","OK")))</x:f>
      </x:c>
      <x:c r="U162" s="297"/>
    </x:row>
    <x:row r="163">
      <x:c r="A163" s="293"/>
      <x:c r="B163" s="235"/>
      <x:c r="C163" s="294"/>
      <x:c r="D163" s="294"/>
      <x:c r="E163" s="314"/>
      <x:c r="F163" s="307" t="str">
        <x:f>IF(OR(A163="",B163="",C163=""),"",SUMIFS('04_SAKERNAS_AGG'!$K$2:$K$301,'04_SAKERNAS_AGG'!$E$2:$E$301,A163,'04_SAKERNAS_AGG'!$F$2:$F$301,B163,'04_SAKERNAS_AGG'!$H$2:$H$301,C163))</x:f>
      </x:c>
      <x:c r="G163" s="307" t="str">
        <x:f>IF(OR(E163="",F163=""),"",E163*F163)</x:f>
      </x:c>
      <x:c r="H163" s="307" t="str">
        <x:f>IF(OR(A163="",B163="",G163=""),"",SUMIFS($G$2:$G$301,$A$2:$A$301,A163,$B$2:$B$301,B163))</x:f>
      </x:c>
      <x:c r="I163" s="308" t="str">
        <x:f>IFERROR(G163/H163,"")</x:f>
      </x:c>
      <x:c r="J163" s="235"/>
      <x:c r="K163" s="235"/>
      <x:c r="L163" s="235"/>
      <x:c r="M163" s="235"/>
      <x:c r="N163" s="315" t="str">
        <x:f>IF(OR(I163="",K163=""),"",100*I163*K163)</x:f>
      </x:c>
      <x:c r="O163" s="308" t="str">
        <x:f>IF(OR(I163="",M163=""),"",I163*M163)</x:f>
      </x:c>
      <x:c r="P163" s="235"/>
      <x:c r="Q163" s="235"/>
      <x:c r="R163" s="235"/>
      <x:c r="S163" s="308" t="str">
        <x:f>IF(OR(A163="",B163=""),"",SUMIFS($I$2:$I$301,$A$2:$A$301,A163,$B$2:$B$301,B163))</x:f>
      </x:c>
      <x:c r="T163" s="233" t="str">
        <x:f>IF(B163="","",IF(ABS(S163-1)&gt;0.000001,"ERROR_SHARE",IF(OR(Q163&lt;&gt;"VERIFIED",R163&lt;&gt;"VERIFIED"),"CHECK_MAPPING","OK")))</x:f>
      </x:c>
      <x:c r="U163" s="297"/>
    </x:row>
    <x:row r="164">
      <x:c r="A164" s="293"/>
      <x:c r="B164" s="235"/>
      <x:c r="C164" s="294"/>
      <x:c r="D164" s="294"/>
      <x:c r="E164" s="314"/>
      <x:c r="F164" s="307" t="str">
        <x:f>IF(OR(A164="",B164="",C164=""),"",SUMIFS('04_SAKERNAS_AGG'!$K$2:$K$301,'04_SAKERNAS_AGG'!$E$2:$E$301,A164,'04_SAKERNAS_AGG'!$F$2:$F$301,B164,'04_SAKERNAS_AGG'!$H$2:$H$301,C164))</x:f>
      </x:c>
      <x:c r="G164" s="307" t="str">
        <x:f>IF(OR(E164="",F164=""),"",E164*F164)</x:f>
      </x:c>
      <x:c r="H164" s="307" t="str">
        <x:f>IF(OR(A164="",B164="",G164=""),"",SUMIFS($G$2:$G$301,$A$2:$A$301,A164,$B$2:$B$301,B164))</x:f>
      </x:c>
      <x:c r="I164" s="308" t="str">
        <x:f>IFERROR(G164/H164,"")</x:f>
      </x:c>
      <x:c r="J164" s="235"/>
      <x:c r="K164" s="235"/>
      <x:c r="L164" s="235"/>
      <x:c r="M164" s="235"/>
      <x:c r="N164" s="315" t="str">
        <x:f>IF(OR(I164="",K164=""),"",100*I164*K164)</x:f>
      </x:c>
      <x:c r="O164" s="308" t="str">
        <x:f>IF(OR(I164="",M164=""),"",I164*M164)</x:f>
      </x:c>
      <x:c r="P164" s="235"/>
      <x:c r="Q164" s="235"/>
      <x:c r="R164" s="235"/>
      <x:c r="S164" s="308" t="str">
        <x:f>IF(OR(A164="",B164=""),"",SUMIFS($I$2:$I$301,$A$2:$A$301,A164,$B$2:$B$301,B164))</x:f>
      </x:c>
      <x:c r="T164" s="233" t="str">
        <x:f>IF(B164="","",IF(ABS(S164-1)&gt;0.000001,"ERROR_SHARE",IF(OR(Q164&lt;&gt;"VERIFIED",R164&lt;&gt;"VERIFIED"),"CHECK_MAPPING","OK")))</x:f>
      </x:c>
      <x:c r="U164" s="297"/>
    </x:row>
    <x:row r="165">
      <x:c r="A165" s="293"/>
      <x:c r="B165" s="235"/>
      <x:c r="C165" s="294"/>
      <x:c r="D165" s="294"/>
      <x:c r="E165" s="314"/>
      <x:c r="F165" s="307" t="str">
        <x:f>IF(OR(A165="",B165="",C165=""),"",SUMIFS('04_SAKERNAS_AGG'!$K$2:$K$301,'04_SAKERNAS_AGG'!$E$2:$E$301,A165,'04_SAKERNAS_AGG'!$F$2:$F$301,B165,'04_SAKERNAS_AGG'!$H$2:$H$301,C165))</x:f>
      </x:c>
      <x:c r="G165" s="307" t="str">
        <x:f>IF(OR(E165="",F165=""),"",E165*F165)</x:f>
      </x:c>
      <x:c r="H165" s="307" t="str">
        <x:f>IF(OR(A165="",B165="",G165=""),"",SUMIFS($G$2:$G$301,$A$2:$A$301,A165,$B$2:$B$301,B165))</x:f>
      </x:c>
      <x:c r="I165" s="308" t="str">
        <x:f>IFERROR(G165/H165,"")</x:f>
      </x:c>
      <x:c r="J165" s="235"/>
      <x:c r="K165" s="235"/>
      <x:c r="L165" s="235"/>
      <x:c r="M165" s="235"/>
      <x:c r="N165" s="315" t="str">
        <x:f>IF(OR(I165="",K165=""),"",100*I165*K165)</x:f>
      </x:c>
      <x:c r="O165" s="308" t="str">
        <x:f>IF(OR(I165="",M165=""),"",I165*M165)</x:f>
      </x:c>
      <x:c r="P165" s="235"/>
      <x:c r="Q165" s="235"/>
      <x:c r="R165" s="235"/>
      <x:c r="S165" s="308" t="str">
        <x:f>IF(OR(A165="",B165=""),"",SUMIFS($I$2:$I$301,$A$2:$A$301,A165,$B$2:$B$301,B165))</x:f>
      </x:c>
      <x:c r="T165" s="233" t="str">
        <x:f>IF(B165="","",IF(ABS(S165-1)&gt;0.000001,"ERROR_SHARE",IF(OR(Q165&lt;&gt;"VERIFIED",R165&lt;&gt;"VERIFIED"),"CHECK_MAPPING","OK")))</x:f>
      </x:c>
      <x:c r="U165" s="297"/>
    </x:row>
    <x:row r="166">
      <x:c r="A166" s="293"/>
      <x:c r="B166" s="235"/>
      <x:c r="C166" s="294"/>
      <x:c r="D166" s="294"/>
      <x:c r="E166" s="314"/>
      <x:c r="F166" s="307" t="str">
        <x:f>IF(OR(A166="",B166="",C166=""),"",SUMIFS('04_SAKERNAS_AGG'!$K$2:$K$301,'04_SAKERNAS_AGG'!$E$2:$E$301,A166,'04_SAKERNAS_AGG'!$F$2:$F$301,B166,'04_SAKERNAS_AGG'!$H$2:$H$301,C166))</x:f>
      </x:c>
      <x:c r="G166" s="307" t="str">
        <x:f>IF(OR(E166="",F166=""),"",E166*F166)</x:f>
      </x:c>
      <x:c r="H166" s="307" t="str">
        <x:f>IF(OR(A166="",B166="",G166=""),"",SUMIFS($G$2:$G$301,$A$2:$A$301,A166,$B$2:$B$301,B166))</x:f>
      </x:c>
      <x:c r="I166" s="308" t="str">
        <x:f>IFERROR(G166/H166,"")</x:f>
      </x:c>
      <x:c r="J166" s="235"/>
      <x:c r="K166" s="235"/>
      <x:c r="L166" s="235"/>
      <x:c r="M166" s="235"/>
      <x:c r="N166" s="315" t="str">
        <x:f>IF(OR(I166="",K166=""),"",100*I166*K166)</x:f>
      </x:c>
      <x:c r="O166" s="308" t="str">
        <x:f>IF(OR(I166="",M166=""),"",I166*M166)</x:f>
      </x:c>
      <x:c r="P166" s="235"/>
      <x:c r="Q166" s="235"/>
      <x:c r="R166" s="235"/>
      <x:c r="S166" s="308" t="str">
        <x:f>IF(OR(A166="",B166=""),"",SUMIFS($I$2:$I$301,$A$2:$A$301,A166,$B$2:$B$301,B166))</x:f>
      </x:c>
      <x:c r="T166" s="233" t="str">
        <x:f>IF(B166="","",IF(ABS(S166-1)&gt;0.000001,"ERROR_SHARE",IF(OR(Q166&lt;&gt;"VERIFIED",R166&lt;&gt;"VERIFIED"),"CHECK_MAPPING","OK")))</x:f>
      </x:c>
      <x:c r="U166" s="297"/>
    </x:row>
    <x:row r="167">
      <x:c r="A167" s="293"/>
      <x:c r="B167" s="235"/>
      <x:c r="C167" s="294"/>
      <x:c r="D167" s="294"/>
      <x:c r="E167" s="314"/>
      <x:c r="F167" s="307" t="str">
        <x:f>IF(OR(A167="",B167="",C167=""),"",SUMIFS('04_SAKERNAS_AGG'!$K$2:$K$301,'04_SAKERNAS_AGG'!$E$2:$E$301,A167,'04_SAKERNAS_AGG'!$F$2:$F$301,B167,'04_SAKERNAS_AGG'!$H$2:$H$301,C167))</x:f>
      </x:c>
      <x:c r="G167" s="307" t="str">
        <x:f>IF(OR(E167="",F167=""),"",E167*F167)</x:f>
      </x:c>
      <x:c r="H167" s="307" t="str">
        <x:f>IF(OR(A167="",B167="",G167=""),"",SUMIFS($G$2:$G$301,$A$2:$A$301,A167,$B$2:$B$301,B167))</x:f>
      </x:c>
      <x:c r="I167" s="308" t="str">
        <x:f>IFERROR(G167/H167,"")</x:f>
      </x:c>
      <x:c r="J167" s="235"/>
      <x:c r="K167" s="235"/>
      <x:c r="L167" s="235"/>
      <x:c r="M167" s="235"/>
      <x:c r="N167" s="315" t="str">
        <x:f>IF(OR(I167="",K167=""),"",100*I167*K167)</x:f>
      </x:c>
      <x:c r="O167" s="308" t="str">
        <x:f>IF(OR(I167="",M167=""),"",I167*M167)</x:f>
      </x:c>
      <x:c r="P167" s="235"/>
      <x:c r="Q167" s="235"/>
      <x:c r="R167" s="235"/>
      <x:c r="S167" s="308" t="str">
        <x:f>IF(OR(A167="",B167=""),"",SUMIFS($I$2:$I$301,$A$2:$A$301,A167,$B$2:$B$301,B167))</x:f>
      </x:c>
      <x:c r="T167" s="233" t="str">
        <x:f>IF(B167="","",IF(ABS(S167-1)&gt;0.000001,"ERROR_SHARE",IF(OR(Q167&lt;&gt;"VERIFIED",R167&lt;&gt;"VERIFIED"),"CHECK_MAPPING","OK")))</x:f>
      </x:c>
      <x:c r="U167" s="297"/>
    </x:row>
    <x:row r="168">
      <x:c r="A168" s="293"/>
      <x:c r="B168" s="235"/>
      <x:c r="C168" s="294"/>
      <x:c r="D168" s="294"/>
      <x:c r="E168" s="314"/>
      <x:c r="F168" s="307" t="str">
        <x:f>IF(OR(A168="",B168="",C168=""),"",SUMIFS('04_SAKERNAS_AGG'!$K$2:$K$301,'04_SAKERNAS_AGG'!$E$2:$E$301,A168,'04_SAKERNAS_AGG'!$F$2:$F$301,B168,'04_SAKERNAS_AGG'!$H$2:$H$301,C168))</x:f>
      </x:c>
      <x:c r="G168" s="307" t="str">
        <x:f>IF(OR(E168="",F168=""),"",E168*F168)</x:f>
      </x:c>
      <x:c r="H168" s="307" t="str">
        <x:f>IF(OR(A168="",B168="",G168=""),"",SUMIFS($G$2:$G$301,$A$2:$A$301,A168,$B$2:$B$301,B168))</x:f>
      </x:c>
      <x:c r="I168" s="308" t="str">
        <x:f>IFERROR(G168/H168,"")</x:f>
      </x:c>
      <x:c r="J168" s="235"/>
      <x:c r="K168" s="235"/>
      <x:c r="L168" s="235"/>
      <x:c r="M168" s="235"/>
      <x:c r="N168" s="315" t="str">
        <x:f>IF(OR(I168="",K168=""),"",100*I168*K168)</x:f>
      </x:c>
      <x:c r="O168" s="308" t="str">
        <x:f>IF(OR(I168="",M168=""),"",I168*M168)</x:f>
      </x:c>
      <x:c r="P168" s="235"/>
      <x:c r="Q168" s="235"/>
      <x:c r="R168" s="235"/>
      <x:c r="S168" s="308" t="str">
        <x:f>IF(OR(A168="",B168=""),"",SUMIFS($I$2:$I$301,$A$2:$A$301,A168,$B$2:$B$301,B168))</x:f>
      </x:c>
      <x:c r="T168" s="233" t="str">
        <x:f>IF(B168="","",IF(ABS(S168-1)&gt;0.000001,"ERROR_SHARE",IF(OR(Q168&lt;&gt;"VERIFIED",R168&lt;&gt;"VERIFIED"),"CHECK_MAPPING","OK")))</x:f>
      </x:c>
      <x:c r="U168" s="297"/>
    </x:row>
    <x:row r="169">
      <x:c r="A169" s="293"/>
      <x:c r="B169" s="235"/>
      <x:c r="C169" s="294"/>
      <x:c r="D169" s="294"/>
      <x:c r="E169" s="314"/>
      <x:c r="F169" s="307" t="str">
        <x:f>IF(OR(A169="",B169="",C169=""),"",SUMIFS('04_SAKERNAS_AGG'!$K$2:$K$301,'04_SAKERNAS_AGG'!$E$2:$E$301,A169,'04_SAKERNAS_AGG'!$F$2:$F$301,B169,'04_SAKERNAS_AGG'!$H$2:$H$301,C169))</x:f>
      </x:c>
      <x:c r="G169" s="307" t="str">
        <x:f>IF(OR(E169="",F169=""),"",E169*F169)</x:f>
      </x:c>
      <x:c r="H169" s="307" t="str">
        <x:f>IF(OR(A169="",B169="",G169=""),"",SUMIFS($G$2:$G$301,$A$2:$A$301,A169,$B$2:$B$301,B169))</x:f>
      </x:c>
      <x:c r="I169" s="308" t="str">
        <x:f>IFERROR(G169/H169,"")</x:f>
      </x:c>
      <x:c r="J169" s="235"/>
      <x:c r="K169" s="235"/>
      <x:c r="L169" s="235"/>
      <x:c r="M169" s="235"/>
      <x:c r="N169" s="315" t="str">
        <x:f>IF(OR(I169="",K169=""),"",100*I169*K169)</x:f>
      </x:c>
      <x:c r="O169" s="308" t="str">
        <x:f>IF(OR(I169="",M169=""),"",I169*M169)</x:f>
      </x:c>
      <x:c r="P169" s="235"/>
      <x:c r="Q169" s="235"/>
      <x:c r="R169" s="235"/>
      <x:c r="S169" s="308" t="str">
        <x:f>IF(OR(A169="",B169=""),"",SUMIFS($I$2:$I$301,$A$2:$A$301,A169,$B$2:$B$301,B169))</x:f>
      </x:c>
      <x:c r="T169" s="233" t="str">
        <x:f>IF(B169="","",IF(ABS(S169-1)&gt;0.000001,"ERROR_SHARE",IF(OR(Q169&lt;&gt;"VERIFIED",R169&lt;&gt;"VERIFIED"),"CHECK_MAPPING","OK")))</x:f>
      </x:c>
      <x:c r="U169" s="297"/>
    </x:row>
    <x:row r="170">
      <x:c r="A170" s="293"/>
      <x:c r="B170" s="235"/>
      <x:c r="C170" s="294"/>
      <x:c r="D170" s="294"/>
      <x:c r="E170" s="314"/>
      <x:c r="F170" s="307" t="str">
        <x:f>IF(OR(A170="",B170="",C170=""),"",SUMIFS('04_SAKERNAS_AGG'!$K$2:$K$301,'04_SAKERNAS_AGG'!$E$2:$E$301,A170,'04_SAKERNAS_AGG'!$F$2:$F$301,B170,'04_SAKERNAS_AGG'!$H$2:$H$301,C170))</x:f>
      </x:c>
      <x:c r="G170" s="307" t="str">
        <x:f>IF(OR(E170="",F170=""),"",E170*F170)</x:f>
      </x:c>
      <x:c r="H170" s="307" t="str">
        <x:f>IF(OR(A170="",B170="",G170=""),"",SUMIFS($G$2:$G$301,$A$2:$A$301,A170,$B$2:$B$301,B170))</x:f>
      </x:c>
      <x:c r="I170" s="308" t="str">
        <x:f>IFERROR(G170/H170,"")</x:f>
      </x:c>
      <x:c r="J170" s="235"/>
      <x:c r="K170" s="235"/>
      <x:c r="L170" s="235"/>
      <x:c r="M170" s="235"/>
      <x:c r="N170" s="315" t="str">
        <x:f>IF(OR(I170="",K170=""),"",100*I170*K170)</x:f>
      </x:c>
      <x:c r="O170" s="308" t="str">
        <x:f>IF(OR(I170="",M170=""),"",I170*M170)</x:f>
      </x:c>
      <x:c r="P170" s="235"/>
      <x:c r="Q170" s="235"/>
      <x:c r="R170" s="235"/>
      <x:c r="S170" s="308" t="str">
        <x:f>IF(OR(A170="",B170=""),"",SUMIFS($I$2:$I$301,$A$2:$A$301,A170,$B$2:$B$301,B170))</x:f>
      </x:c>
      <x:c r="T170" s="233" t="str">
        <x:f>IF(B170="","",IF(ABS(S170-1)&gt;0.000001,"ERROR_SHARE",IF(OR(Q170&lt;&gt;"VERIFIED",R170&lt;&gt;"VERIFIED"),"CHECK_MAPPING","OK")))</x:f>
      </x:c>
      <x:c r="U170" s="297"/>
    </x:row>
    <x:row r="171">
      <x:c r="A171" s="293"/>
      <x:c r="B171" s="235"/>
      <x:c r="C171" s="294"/>
      <x:c r="D171" s="294"/>
      <x:c r="E171" s="314"/>
      <x:c r="F171" s="307" t="str">
        <x:f>IF(OR(A171="",B171="",C171=""),"",SUMIFS('04_SAKERNAS_AGG'!$K$2:$K$301,'04_SAKERNAS_AGG'!$E$2:$E$301,A171,'04_SAKERNAS_AGG'!$F$2:$F$301,B171,'04_SAKERNAS_AGG'!$H$2:$H$301,C171))</x:f>
      </x:c>
      <x:c r="G171" s="307" t="str">
        <x:f>IF(OR(E171="",F171=""),"",E171*F171)</x:f>
      </x:c>
      <x:c r="H171" s="307" t="str">
        <x:f>IF(OR(A171="",B171="",G171=""),"",SUMIFS($G$2:$G$301,$A$2:$A$301,A171,$B$2:$B$301,B171))</x:f>
      </x:c>
      <x:c r="I171" s="308" t="str">
        <x:f>IFERROR(G171/H171,"")</x:f>
      </x:c>
      <x:c r="J171" s="235"/>
      <x:c r="K171" s="235"/>
      <x:c r="L171" s="235"/>
      <x:c r="M171" s="235"/>
      <x:c r="N171" s="315" t="str">
        <x:f>IF(OR(I171="",K171=""),"",100*I171*K171)</x:f>
      </x:c>
      <x:c r="O171" s="308" t="str">
        <x:f>IF(OR(I171="",M171=""),"",I171*M171)</x:f>
      </x:c>
      <x:c r="P171" s="235"/>
      <x:c r="Q171" s="235"/>
      <x:c r="R171" s="235"/>
      <x:c r="S171" s="308" t="str">
        <x:f>IF(OR(A171="",B171=""),"",SUMIFS($I$2:$I$301,$A$2:$A$301,A171,$B$2:$B$301,B171))</x:f>
      </x:c>
      <x:c r="T171" s="233" t="str">
        <x:f>IF(B171="","",IF(ABS(S171-1)&gt;0.000001,"ERROR_SHARE",IF(OR(Q171&lt;&gt;"VERIFIED",R171&lt;&gt;"VERIFIED"),"CHECK_MAPPING","OK")))</x:f>
      </x:c>
      <x:c r="U171" s="297"/>
    </x:row>
    <x:row r="172">
      <x:c r="A172" s="293"/>
      <x:c r="B172" s="235"/>
      <x:c r="C172" s="294"/>
      <x:c r="D172" s="294"/>
      <x:c r="E172" s="314"/>
      <x:c r="F172" s="307" t="str">
        <x:f>IF(OR(A172="",B172="",C172=""),"",SUMIFS('04_SAKERNAS_AGG'!$K$2:$K$301,'04_SAKERNAS_AGG'!$E$2:$E$301,A172,'04_SAKERNAS_AGG'!$F$2:$F$301,B172,'04_SAKERNAS_AGG'!$H$2:$H$301,C172))</x:f>
      </x:c>
      <x:c r="G172" s="307" t="str">
        <x:f>IF(OR(E172="",F172=""),"",E172*F172)</x:f>
      </x:c>
      <x:c r="H172" s="307" t="str">
        <x:f>IF(OR(A172="",B172="",G172=""),"",SUMIFS($G$2:$G$301,$A$2:$A$301,A172,$B$2:$B$301,B172))</x:f>
      </x:c>
      <x:c r="I172" s="308" t="str">
        <x:f>IFERROR(G172/H172,"")</x:f>
      </x:c>
      <x:c r="J172" s="235"/>
      <x:c r="K172" s="235"/>
      <x:c r="L172" s="235"/>
      <x:c r="M172" s="235"/>
      <x:c r="N172" s="315" t="str">
        <x:f>IF(OR(I172="",K172=""),"",100*I172*K172)</x:f>
      </x:c>
      <x:c r="O172" s="308" t="str">
        <x:f>IF(OR(I172="",M172=""),"",I172*M172)</x:f>
      </x:c>
      <x:c r="P172" s="235"/>
      <x:c r="Q172" s="235"/>
      <x:c r="R172" s="235"/>
      <x:c r="S172" s="308" t="str">
        <x:f>IF(OR(A172="",B172=""),"",SUMIFS($I$2:$I$301,$A$2:$A$301,A172,$B$2:$B$301,B172))</x:f>
      </x:c>
      <x:c r="T172" s="233" t="str">
        <x:f>IF(B172="","",IF(ABS(S172-1)&gt;0.000001,"ERROR_SHARE",IF(OR(Q172&lt;&gt;"VERIFIED",R172&lt;&gt;"VERIFIED"),"CHECK_MAPPING","OK")))</x:f>
      </x:c>
      <x:c r="U172" s="297"/>
    </x:row>
    <x:row r="173">
      <x:c r="A173" s="293"/>
      <x:c r="B173" s="235"/>
      <x:c r="C173" s="294"/>
      <x:c r="D173" s="294"/>
      <x:c r="E173" s="314"/>
      <x:c r="F173" s="307" t="str">
        <x:f>IF(OR(A173="",B173="",C173=""),"",SUMIFS('04_SAKERNAS_AGG'!$K$2:$K$301,'04_SAKERNAS_AGG'!$E$2:$E$301,A173,'04_SAKERNAS_AGG'!$F$2:$F$301,B173,'04_SAKERNAS_AGG'!$H$2:$H$301,C173))</x:f>
      </x:c>
      <x:c r="G173" s="307" t="str">
        <x:f>IF(OR(E173="",F173=""),"",E173*F173)</x:f>
      </x:c>
      <x:c r="H173" s="307" t="str">
        <x:f>IF(OR(A173="",B173="",G173=""),"",SUMIFS($G$2:$G$301,$A$2:$A$301,A173,$B$2:$B$301,B173))</x:f>
      </x:c>
      <x:c r="I173" s="308" t="str">
        <x:f>IFERROR(G173/H173,"")</x:f>
      </x:c>
      <x:c r="J173" s="235"/>
      <x:c r="K173" s="235"/>
      <x:c r="L173" s="235"/>
      <x:c r="M173" s="235"/>
      <x:c r="N173" s="315" t="str">
        <x:f>IF(OR(I173="",K173=""),"",100*I173*K173)</x:f>
      </x:c>
      <x:c r="O173" s="308" t="str">
        <x:f>IF(OR(I173="",M173=""),"",I173*M173)</x:f>
      </x:c>
      <x:c r="P173" s="235"/>
      <x:c r="Q173" s="235"/>
      <x:c r="R173" s="235"/>
      <x:c r="S173" s="308" t="str">
        <x:f>IF(OR(A173="",B173=""),"",SUMIFS($I$2:$I$301,$A$2:$A$301,A173,$B$2:$B$301,B173))</x:f>
      </x:c>
      <x:c r="T173" s="233" t="str">
        <x:f>IF(B173="","",IF(ABS(S173-1)&gt;0.000001,"ERROR_SHARE",IF(OR(Q173&lt;&gt;"VERIFIED",R173&lt;&gt;"VERIFIED"),"CHECK_MAPPING","OK")))</x:f>
      </x:c>
      <x:c r="U173" s="297"/>
    </x:row>
    <x:row r="174">
      <x:c r="A174" s="293"/>
      <x:c r="B174" s="235"/>
      <x:c r="C174" s="294"/>
      <x:c r="D174" s="294"/>
      <x:c r="E174" s="314"/>
      <x:c r="F174" s="307" t="str">
        <x:f>IF(OR(A174="",B174="",C174=""),"",SUMIFS('04_SAKERNAS_AGG'!$K$2:$K$301,'04_SAKERNAS_AGG'!$E$2:$E$301,A174,'04_SAKERNAS_AGG'!$F$2:$F$301,B174,'04_SAKERNAS_AGG'!$H$2:$H$301,C174))</x:f>
      </x:c>
      <x:c r="G174" s="307" t="str">
        <x:f>IF(OR(E174="",F174=""),"",E174*F174)</x:f>
      </x:c>
      <x:c r="H174" s="307" t="str">
        <x:f>IF(OR(A174="",B174="",G174=""),"",SUMIFS($G$2:$G$301,$A$2:$A$301,A174,$B$2:$B$301,B174))</x:f>
      </x:c>
      <x:c r="I174" s="308" t="str">
        <x:f>IFERROR(G174/H174,"")</x:f>
      </x:c>
      <x:c r="J174" s="235"/>
      <x:c r="K174" s="235"/>
      <x:c r="L174" s="235"/>
      <x:c r="M174" s="235"/>
      <x:c r="N174" s="315" t="str">
        <x:f>IF(OR(I174="",K174=""),"",100*I174*K174)</x:f>
      </x:c>
      <x:c r="O174" s="308" t="str">
        <x:f>IF(OR(I174="",M174=""),"",I174*M174)</x:f>
      </x:c>
      <x:c r="P174" s="235"/>
      <x:c r="Q174" s="235"/>
      <x:c r="R174" s="235"/>
      <x:c r="S174" s="308" t="str">
        <x:f>IF(OR(A174="",B174=""),"",SUMIFS($I$2:$I$301,$A$2:$A$301,A174,$B$2:$B$301,B174))</x:f>
      </x:c>
      <x:c r="T174" s="233" t="str">
        <x:f>IF(B174="","",IF(ABS(S174-1)&gt;0.000001,"ERROR_SHARE",IF(OR(Q174&lt;&gt;"VERIFIED",R174&lt;&gt;"VERIFIED"),"CHECK_MAPPING","OK")))</x:f>
      </x:c>
      <x:c r="U174" s="297"/>
    </x:row>
    <x:row r="175">
      <x:c r="A175" s="293"/>
      <x:c r="B175" s="235"/>
      <x:c r="C175" s="294"/>
      <x:c r="D175" s="294"/>
      <x:c r="E175" s="314"/>
      <x:c r="F175" s="307" t="str">
        <x:f>IF(OR(A175="",B175="",C175=""),"",SUMIFS('04_SAKERNAS_AGG'!$K$2:$K$301,'04_SAKERNAS_AGG'!$E$2:$E$301,A175,'04_SAKERNAS_AGG'!$F$2:$F$301,B175,'04_SAKERNAS_AGG'!$H$2:$H$301,C175))</x:f>
      </x:c>
      <x:c r="G175" s="307" t="str">
        <x:f>IF(OR(E175="",F175=""),"",E175*F175)</x:f>
      </x:c>
      <x:c r="H175" s="307" t="str">
        <x:f>IF(OR(A175="",B175="",G175=""),"",SUMIFS($G$2:$G$301,$A$2:$A$301,A175,$B$2:$B$301,B175))</x:f>
      </x:c>
      <x:c r="I175" s="308" t="str">
        <x:f>IFERROR(G175/H175,"")</x:f>
      </x:c>
      <x:c r="J175" s="235"/>
      <x:c r="K175" s="235"/>
      <x:c r="L175" s="235"/>
      <x:c r="M175" s="235"/>
      <x:c r="N175" s="315" t="str">
        <x:f>IF(OR(I175="",K175=""),"",100*I175*K175)</x:f>
      </x:c>
      <x:c r="O175" s="308" t="str">
        <x:f>IF(OR(I175="",M175=""),"",I175*M175)</x:f>
      </x:c>
      <x:c r="P175" s="235"/>
      <x:c r="Q175" s="235"/>
      <x:c r="R175" s="235"/>
      <x:c r="S175" s="308" t="str">
        <x:f>IF(OR(A175="",B175=""),"",SUMIFS($I$2:$I$301,$A$2:$A$301,A175,$B$2:$B$301,B175))</x:f>
      </x:c>
      <x:c r="T175" s="233" t="str">
        <x:f>IF(B175="","",IF(ABS(S175-1)&gt;0.000001,"ERROR_SHARE",IF(OR(Q175&lt;&gt;"VERIFIED",R175&lt;&gt;"VERIFIED"),"CHECK_MAPPING","OK")))</x:f>
      </x:c>
      <x:c r="U175" s="297"/>
    </x:row>
    <x:row r="176">
      <x:c r="A176" s="293"/>
      <x:c r="B176" s="235"/>
      <x:c r="C176" s="294"/>
      <x:c r="D176" s="294"/>
      <x:c r="E176" s="314"/>
      <x:c r="F176" s="307" t="str">
        <x:f>IF(OR(A176="",B176="",C176=""),"",SUMIFS('04_SAKERNAS_AGG'!$K$2:$K$301,'04_SAKERNAS_AGG'!$E$2:$E$301,A176,'04_SAKERNAS_AGG'!$F$2:$F$301,B176,'04_SAKERNAS_AGG'!$H$2:$H$301,C176))</x:f>
      </x:c>
      <x:c r="G176" s="307" t="str">
        <x:f>IF(OR(E176="",F176=""),"",E176*F176)</x:f>
      </x:c>
      <x:c r="H176" s="307" t="str">
        <x:f>IF(OR(A176="",B176="",G176=""),"",SUMIFS($G$2:$G$301,$A$2:$A$301,A176,$B$2:$B$301,B176))</x:f>
      </x:c>
      <x:c r="I176" s="308" t="str">
        <x:f>IFERROR(G176/H176,"")</x:f>
      </x:c>
      <x:c r="J176" s="235"/>
      <x:c r="K176" s="235"/>
      <x:c r="L176" s="235"/>
      <x:c r="M176" s="235"/>
      <x:c r="N176" s="315" t="str">
        <x:f>IF(OR(I176="",K176=""),"",100*I176*K176)</x:f>
      </x:c>
      <x:c r="O176" s="308" t="str">
        <x:f>IF(OR(I176="",M176=""),"",I176*M176)</x:f>
      </x:c>
      <x:c r="P176" s="235"/>
      <x:c r="Q176" s="235"/>
      <x:c r="R176" s="235"/>
      <x:c r="S176" s="308" t="str">
        <x:f>IF(OR(A176="",B176=""),"",SUMIFS($I$2:$I$301,$A$2:$A$301,A176,$B$2:$B$301,B176))</x:f>
      </x:c>
      <x:c r="T176" s="233" t="str">
        <x:f>IF(B176="","",IF(ABS(S176-1)&gt;0.000001,"ERROR_SHARE",IF(OR(Q176&lt;&gt;"VERIFIED",R176&lt;&gt;"VERIFIED"),"CHECK_MAPPING","OK")))</x:f>
      </x:c>
      <x:c r="U176" s="297"/>
    </x:row>
    <x:row r="177">
      <x:c r="A177" s="293"/>
      <x:c r="B177" s="235"/>
      <x:c r="C177" s="294"/>
      <x:c r="D177" s="294"/>
      <x:c r="E177" s="314"/>
      <x:c r="F177" s="307" t="str">
        <x:f>IF(OR(A177="",B177="",C177=""),"",SUMIFS('04_SAKERNAS_AGG'!$K$2:$K$301,'04_SAKERNAS_AGG'!$E$2:$E$301,A177,'04_SAKERNAS_AGG'!$F$2:$F$301,B177,'04_SAKERNAS_AGG'!$H$2:$H$301,C177))</x:f>
      </x:c>
      <x:c r="G177" s="307" t="str">
        <x:f>IF(OR(E177="",F177=""),"",E177*F177)</x:f>
      </x:c>
      <x:c r="H177" s="307" t="str">
        <x:f>IF(OR(A177="",B177="",G177=""),"",SUMIFS($G$2:$G$301,$A$2:$A$301,A177,$B$2:$B$301,B177))</x:f>
      </x:c>
      <x:c r="I177" s="308" t="str">
        <x:f>IFERROR(G177/H177,"")</x:f>
      </x:c>
      <x:c r="J177" s="235"/>
      <x:c r="K177" s="235"/>
      <x:c r="L177" s="235"/>
      <x:c r="M177" s="235"/>
      <x:c r="N177" s="315" t="str">
        <x:f>IF(OR(I177="",K177=""),"",100*I177*K177)</x:f>
      </x:c>
      <x:c r="O177" s="308" t="str">
        <x:f>IF(OR(I177="",M177=""),"",I177*M177)</x:f>
      </x:c>
      <x:c r="P177" s="235"/>
      <x:c r="Q177" s="235"/>
      <x:c r="R177" s="235"/>
      <x:c r="S177" s="308" t="str">
        <x:f>IF(OR(A177="",B177=""),"",SUMIFS($I$2:$I$301,$A$2:$A$301,A177,$B$2:$B$301,B177))</x:f>
      </x:c>
      <x:c r="T177" s="233" t="str">
        <x:f>IF(B177="","",IF(ABS(S177-1)&gt;0.000001,"ERROR_SHARE",IF(OR(Q177&lt;&gt;"VERIFIED",R177&lt;&gt;"VERIFIED"),"CHECK_MAPPING","OK")))</x:f>
      </x:c>
      <x:c r="U177" s="297"/>
    </x:row>
    <x:row r="178">
      <x:c r="A178" s="293"/>
      <x:c r="B178" s="235"/>
      <x:c r="C178" s="294"/>
      <x:c r="D178" s="294"/>
      <x:c r="E178" s="314"/>
      <x:c r="F178" s="307" t="str">
        <x:f>IF(OR(A178="",B178="",C178=""),"",SUMIFS('04_SAKERNAS_AGG'!$K$2:$K$301,'04_SAKERNAS_AGG'!$E$2:$E$301,A178,'04_SAKERNAS_AGG'!$F$2:$F$301,B178,'04_SAKERNAS_AGG'!$H$2:$H$301,C178))</x:f>
      </x:c>
      <x:c r="G178" s="307" t="str">
        <x:f>IF(OR(E178="",F178=""),"",E178*F178)</x:f>
      </x:c>
      <x:c r="H178" s="307" t="str">
        <x:f>IF(OR(A178="",B178="",G178=""),"",SUMIFS($G$2:$G$301,$A$2:$A$301,A178,$B$2:$B$301,B178))</x:f>
      </x:c>
      <x:c r="I178" s="308" t="str">
        <x:f>IFERROR(G178/H178,"")</x:f>
      </x:c>
      <x:c r="J178" s="235"/>
      <x:c r="K178" s="235"/>
      <x:c r="L178" s="235"/>
      <x:c r="M178" s="235"/>
      <x:c r="N178" s="315" t="str">
        <x:f>IF(OR(I178="",K178=""),"",100*I178*K178)</x:f>
      </x:c>
      <x:c r="O178" s="308" t="str">
        <x:f>IF(OR(I178="",M178=""),"",I178*M178)</x:f>
      </x:c>
      <x:c r="P178" s="235"/>
      <x:c r="Q178" s="235"/>
      <x:c r="R178" s="235"/>
      <x:c r="S178" s="308" t="str">
        <x:f>IF(OR(A178="",B178=""),"",SUMIFS($I$2:$I$301,$A$2:$A$301,A178,$B$2:$B$301,B178))</x:f>
      </x:c>
      <x:c r="T178" s="233" t="str">
        <x:f>IF(B178="","",IF(ABS(S178-1)&gt;0.000001,"ERROR_SHARE",IF(OR(Q178&lt;&gt;"VERIFIED",R178&lt;&gt;"VERIFIED"),"CHECK_MAPPING","OK")))</x:f>
      </x:c>
      <x:c r="U178" s="297"/>
    </x:row>
    <x:row r="179">
      <x:c r="A179" s="293"/>
      <x:c r="B179" s="235"/>
      <x:c r="C179" s="294"/>
      <x:c r="D179" s="294"/>
      <x:c r="E179" s="314"/>
      <x:c r="F179" s="307" t="str">
        <x:f>IF(OR(A179="",B179="",C179=""),"",SUMIFS('04_SAKERNAS_AGG'!$K$2:$K$301,'04_SAKERNAS_AGG'!$E$2:$E$301,A179,'04_SAKERNAS_AGG'!$F$2:$F$301,B179,'04_SAKERNAS_AGG'!$H$2:$H$301,C179))</x:f>
      </x:c>
      <x:c r="G179" s="307" t="str">
        <x:f>IF(OR(E179="",F179=""),"",E179*F179)</x:f>
      </x:c>
      <x:c r="H179" s="307" t="str">
        <x:f>IF(OR(A179="",B179="",G179=""),"",SUMIFS($G$2:$G$301,$A$2:$A$301,A179,$B$2:$B$301,B179))</x:f>
      </x:c>
      <x:c r="I179" s="308" t="str">
        <x:f>IFERROR(G179/H179,"")</x:f>
      </x:c>
      <x:c r="J179" s="235"/>
      <x:c r="K179" s="235"/>
      <x:c r="L179" s="235"/>
      <x:c r="M179" s="235"/>
      <x:c r="N179" s="315" t="str">
        <x:f>IF(OR(I179="",K179=""),"",100*I179*K179)</x:f>
      </x:c>
      <x:c r="O179" s="308" t="str">
        <x:f>IF(OR(I179="",M179=""),"",I179*M179)</x:f>
      </x:c>
      <x:c r="P179" s="235"/>
      <x:c r="Q179" s="235"/>
      <x:c r="R179" s="235"/>
      <x:c r="S179" s="308" t="str">
        <x:f>IF(OR(A179="",B179=""),"",SUMIFS($I$2:$I$301,$A$2:$A$301,A179,$B$2:$B$301,B179))</x:f>
      </x:c>
      <x:c r="T179" s="233" t="str">
        <x:f>IF(B179="","",IF(ABS(S179-1)&gt;0.000001,"ERROR_SHARE",IF(OR(Q179&lt;&gt;"VERIFIED",R179&lt;&gt;"VERIFIED"),"CHECK_MAPPING","OK")))</x:f>
      </x:c>
      <x:c r="U179" s="297"/>
    </x:row>
    <x:row r="180">
      <x:c r="A180" s="293"/>
      <x:c r="B180" s="235"/>
      <x:c r="C180" s="294"/>
      <x:c r="D180" s="294"/>
      <x:c r="E180" s="314"/>
      <x:c r="F180" s="307" t="str">
        <x:f>IF(OR(A180="",B180="",C180=""),"",SUMIFS('04_SAKERNAS_AGG'!$K$2:$K$301,'04_SAKERNAS_AGG'!$E$2:$E$301,A180,'04_SAKERNAS_AGG'!$F$2:$F$301,B180,'04_SAKERNAS_AGG'!$H$2:$H$301,C180))</x:f>
      </x:c>
      <x:c r="G180" s="307" t="str">
        <x:f>IF(OR(E180="",F180=""),"",E180*F180)</x:f>
      </x:c>
      <x:c r="H180" s="307" t="str">
        <x:f>IF(OR(A180="",B180="",G180=""),"",SUMIFS($G$2:$G$301,$A$2:$A$301,A180,$B$2:$B$301,B180))</x:f>
      </x:c>
      <x:c r="I180" s="308" t="str">
        <x:f>IFERROR(G180/H180,"")</x:f>
      </x:c>
      <x:c r="J180" s="235"/>
      <x:c r="K180" s="235"/>
      <x:c r="L180" s="235"/>
      <x:c r="M180" s="235"/>
      <x:c r="N180" s="315" t="str">
        <x:f>IF(OR(I180="",K180=""),"",100*I180*K180)</x:f>
      </x:c>
      <x:c r="O180" s="308" t="str">
        <x:f>IF(OR(I180="",M180=""),"",I180*M180)</x:f>
      </x:c>
      <x:c r="P180" s="235"/>
      <x:c r="Q180" s="235"/>
      <x:c r="R180" s="235"/>
      <x:c r="S180" s="308" t="str">
        <x:f>IF(OR(A180="",B180=""),"",SUMIFS($I$2:$I$301,$A$2:$A$301,A180,$B$2:$B$301,B180))</x:f>
      </x:c>
      <x:c r="T180" s="233" t="str">
        <x:f>IF(B180="","",IF(ABS(S180-1)&gt;0.000001,"ERROR_SHARE",IF(OR(Q180&lt;&gt;"VERIFIED",R180&lt;&gt;"VERIFIED"),"CHECK_MAPPING","OK")))</x:f>
      </x:c>
      <x:c r="U180" s="297"/>
    </x:row>
    <x:row r="181">
      <x:c r="A181" s="293"/>
      <x:c r="B181" s="235"/>
      <x:c r="C181" s="294"/>
      <x:c r="D181" s="294"/>
      <x:c r="E181" s="314"/>
      <x:c r="F181" s="307" t="str">
        <x:f>IF(OR(A181="",B181="",C181=""),"",SUMIFS('04_SAKERNAS_AGG'!$K$2:$K$301,'04_SAKERNAS_AGG'!$E$2:$E$301,A181,'04_SAKERNAS_AGG'!$F$2:$F$301,B181,'04_SAKERNAS_AGG'!$H$2:$H$301,C181))</x:f>
      </x:c>
      <x:c r="G181" s="307" t="str">
        <x:f>IF(OR(E181="",F181=""),"",E181*F181)</x:f>
      </x:c>
      <x:c r="H181" s="307" t="str">
        <x:f>IF(OR(A181="",B181="",G181=""),"",SUMIFS($G$2:$G$301,$A$2:$A$301,A181,$B$2:$B$301,B181))</x:f>
      </x:c>
      <x:c r="I181" s="308" t="str">
        <x:f>IFERROR(G181/H181,"")</x:f>
      </x:c>
      <x:c r="J181" s="235"/>
      <x:c r="K181" s="235"/>
      <x:c r="L181" s="235"/>
      <x:c r="M181" s="235"/>
      <x:c r="N181" s="315" t="str">
        <x:f>IF(OR(I181="",K181=""),"",100*I181*K181)</x:f>
      </x:c>
      <x:c r="O181" s="308" t="str">
        <x:f>IF(OR(I181="",M181=""),"",I181*M181)</x:f>
      </x:c>
      <x:c r="P181" s="235"/>
      <x:c r="Q181" s="235"/>
      <x:c r="R181" s="235"/>
      <x:c r="S181" s="308" t="str">
        <x:f>IF(OR(A181="",B181=""),"",SUMIFS($I$2:$I$301,$A$2:$A$301,A181,$B$2:$B$301,B181))</x:f>
      </x:c>
      <x:c r="T181" s="233" t="str">
        <x:f>IF(B181="","",IF(ABS(S181-1)&gt;0.000001,"ERROR_SHARE",IF(OR(Q181&lt;&gt;"VERIFIED",R181&lt;&gt;"VERIFIED"),"CHECK_MAPPING","OK")))</x:f>
      </x:c>
      <x:c r="U181" s="297"/>
    </x:row>
    <x:row r="182">
      <x:c r="A182" s="293"/>
      <x:c r="B182" s="235"/>
      <x:c r="C182" s="294"/>
      <x:c r="D182" s="294"/>
      <x:c r="E182" s="314"/>
      <x:c r="F182" s="307" t="str">
        <x:f>IF(OR(A182="",B182="",C182=""),"",SUMIFS('04_SAKERNAS_AGG'!$K$2:$K$301,'04_SAKERNAS_AGG'!$E$2:$E$301,A182,'04_SAKERNAS_AGG'!$F$2:$F$301,B182,'04_SAKERNAS_AGG'!$H$2:$H$301,C182))</x:f>
      </x:c>
      <x:c r="G182" s="307" t="str">
        <x:f>IF(OR(E182="",F182=""),"",E182*F182)</x:f>
      </x:c>
      <x:c r="H182" s="307" t="str">
        <x:f>IF(OR(A182="",B182="",G182=""),"",SUMIFS($G$2:$G$301,$A$2:$A$301,A182,$B$2:$B$301,B182))</x:f>
      </x:c>
      <x:c r="I182" s="308" t="str">
        <x:f>IFERROR(G182/H182,"")</x:f>
      </x:c>
      <x:c r="J182" s="235"/>
      <x:c r="K182" s="235"/>
      <x:c r="L182" s="235"/>
      <x:c r="M182" s="235"/>
      <x:c r="N182" s="315" t="str">
        <x:f>IF(OR(I182="",K182=""),"",100*I182*K182)</x:f>
      </x:c>
      <x:c r="O182" s="308" t="str">
        <x:f>IF(OR(I182="",M182=""),"",I182*M182)</x:f>
      </x:c>
      <x:c r="P182" s="235"/>
      <x:c r="Q182" s="235"/>
      <x:c r="R182" s="235"/>
      <x:c r="S182" s="308" t="str">
        <x:f>IF(OR(A182="",B182=""),"",SUMIFS($I$2:$I$301,$A$2:$A$301,A182,$B$2:$B$301,B182))</x:f>
      </x:c>
      <x:c r="T182" s="233" t="str">
        <x:f>IF(B182="","",IF(ABS(S182-1)&gt;0.000001,"ERROR_SHARE",IF(OR(Q182&lt;&gt;"VERIFIED",R182&lt;&gt;"VERIFIED"),"CHECK_MAPPING","OK")))</x:f>
      </x:c>
      <x:c r="U182" s="297"/>
    </x:row>
    <x:row r="183">
      <x:c r="A183" s="293"/>
      <x:c r="B183" s="235"/>
      <x:c r="C183" s="294"/>
      <x:c r="D183" s="294"/>
      <x:c r="E183" s="314"/>
      <x:c r="F183" s="307" t="str">
        <x:f>IF(OR(A183="",B183="",C183=""),"",SUMIFS('04_SAKERNAS_AGG'!$K$2:$K$301,'04_SAKERNAS_AGG'!$E$2:$E$301,A183,'04_SAKERNAS_AGG'!$F$2:$F$301,B183,'04_SAKERNAS_AGG'!$H$2:$H$301,C183))</x:f>
      </x:c>
      <x:c r="G183" s="307" t="str">
        <x:f>IF(OR(E183="",F183=""),"",E183*F183)</x:f>
      </x:c>
      <x:c r="H183" s="307" t="str">
        <x:f>IF(OR(A183="",B183="",G183=""),"",SUMIFS($G$2:$G$301,$A$2:$A$301,A183,$B$2:$B$301,B183))</x:f>
      </x:c>
      <x:c r="I183" s="308" t="str">
        <x:f>IFERROR(G183/H183,"")</x:f>
      </x:c>
      <x:c r="J183" s="235"/>
      <x:c r="K183" s="235"/>
      <x:c r="L183" s="235"/>
      <x:c r="M183" s="235"/>
      <x:c r="N183" s="315" t="str">
        <x:f>IF(OR(I183="",K183=""),"",100*I183*K183)</x:f>
      </x:c>
      <x:c r="O183" s="308" t="str">
        <x:f>IF(OR(I183="",M183=""),"",I183*M183)</x:f>
      </x:c>
      <x:c r="P183" s="235"/>
      <x:c r="Q183" s="235"/>
      <x:c r="R183" s="235"/>
      <x:c r="S183" s="308" t="str">
        <x:f>IF(OR(A183="",B183=""),"",SUMIFS($I$2:$I$301,$A$2:$A$301,A183,$B$2:$B$301,B183))</x:f>
      </x:c>
      <x:c r="T183" s="233" t="str">
        <x:f>IF(B183="","",IF(ABS(S183-1)&gt;0.000001,"ERROR_SHARE",IF(OR(Q183&lt;&gt;"VERIFIED",R183&lt;&gt;"VERIFIED"),"CHECK_MAPPING","OK")))</x:f>
      </x:c>
      <x:c r="U183" s="297"/>
    </x:row>
    <x:row r="184">
      <x:c r="A184" s="293"/>
      <x:c r="B184" s="235"/>
      <x:c r="C184" s="294"/>
      <x:c r="D184" s="294"/>
      <x:c r="E184" s="314"/>
      <x:c r="F184" s="307" t="str">
        <x:f>IF(OR(A184="",B184="",C184=""),"",SUMIFS('04_SAKERNAS_AGG'!$K$2:$K$301,'04_SAKERNAS_AGG'!$E$2:$E$301,A184,'04_SAKERNAS_AGG'!$F$2:$F$301,B184,'04_SAKERNAS_AGG'!$H$2:$H$301,C184))</x:f>
      </x:c>
      <x:c r="G184" s="307" t="str">
        <x:f>IF(OR(E184="",F184=""),"",E184*F184)</x:f>
      </x:c>
      <x:c r="H184" s="307" t="str">
        <x:f>IF(OR(A184="",B184="",G184=""),"",SUMIFS($G$2:$G$301,$A$2:$A$301,A184,$B$2:$B$301,B184))</x:f>
      </x:c>
      <x:c r="I184" s="308" t="str">
        <x:f>IFERROR(G184/H184,"")</x:f>
      </x:c>
      <x:c r="J184" s="235"/>
      <x:c r="K184" s="235"/>
      <x:c r="L184" s="235"/>
      <x:c r="M184" s="235"/>
      <x:c r="N184" s="315" t="str">
        <x:f>IF(OR(I184="",K184=""),"",100*I184*K184)</x:f>
      </x:c>
      <x:c r="O184" s="308" t="str">
        <x:f>IF(OR(I184="",M184=""),"",I184*M184)</x:f>
      </x:c>
      <x:c r="P184" s="235"/>
      <x:c r="Q184" s="235"/>
      <x:c r="R184" s="235"/>
      <x:c r="S184" s="308" t="str">
        <x:f>IF(OR(A184="",B184=""),"",SUMIFS($I$2:$I$301,$A$2:$A$301,A184,$B$2:$B$301,B184))</x:f>
      </x:c>
      <x:c r="T184" s="233" t="str">
        <x:f>IF(B184="","",IF(ABS(S184-1)&gt;0.000001,"ERROR_SHARE",IF(OR(Q184&lt;&gt;"VERIFIED",R184&lt;&gt;"VERIFIED"),"CHECK_MAPPING","OK")))</x:f>
      </x:c>
      <x:c r="U184" s="297"/>
    </x:row>
    <x:row r="185">
      <x:c r="A185" s="293"/>
      <x:c r="B185" s="235"/>
      <x:c r="C185" s="294"/>
      <x:c r="D185" s="294"/>
      <x:c r="E185" s="314"/>
      <x:c r="F185" s="307" t="str">
        <x:f>IF(OR(A185="",B185="",C185=""),"",SUMIFS('04_SAKERNAS_AGG'!$K$2:$K$301,'04_SAKERNAS_AGG'!$E$2:$E$301,A185,'04_SAKERNAS_AGG'!$F$2:$F$301,B185,'04_SAKERNAS_AGG'!$H$2:$H$301,C185))</x:f>
      </x:c>
      <x:c r="G185" s="307" t="str">
        <x:f>IF(OR(E185="",F185=""),"",E185*F185)</x:f>
      </x:c>
      <x:c r="H185" s="307" t="str">
        <x:f>IF(OR(A185="",B185="",G185=""),"",SUMIFS($G$2:$G$301,$A$2:$A$301,A185,$B$2:$B$301,B185))</x:f>
      </x:c>
      <x:c r="I185" s="308" t="str">
        <x:f>IFERROR(G185/H185,"")</x:f>
      </x:c>
      <x:c r="J185" s="235"/>
      <x:c r="K185" s="235"/>
      <x:c r="L185" s="235"/>
      <x:c r="M185" s="235"/>
      <x:c r="N185" s="315" t="str">
        <x:f>IF(OR(I185="",K185=""),"",100*I185*K185)</x:f>
      </x:c>
      <x:c r="O185" s="308" t="str">
        <x:f>IF(OR(I185="",M185=""),"",I185*M185)</x:f>
      </x:c>
      <x:c r="P185" s="235"/>
      <x:c r="Q185" s="235"/>
      <x:c r="R185" s="235"/>
      <x:c r="S185" s="308" t="str">
        <x:f>IF(OR(A185="",B185=""),"",SUMIFS($I$2:$I$301,$A$2:$A$301,A185,$B$2:$B$301,B185))</x:f>
      </x:c>
      <x:c r="T185" s="233" t="str">
        <x:f>IF(B185="","",IF(ABS(S185-1)&gt;0.000001,"ERROR_SHARE",IF(OR(Q185&lt;&gt;"VERIFIED",R185&lt;&gt;"VERIFIED"),"CHECK_MAPPING","OK")))</x:f>
      </x:c>
      <x:c r="U185" s="297"/>
    </x:row>
    <x:row r="186">
      <x:c r="A186" s="293"/>
      <x:c r="B186" s="235"/>
      <x:c r="C186" s="294"/>
      <x:c r="D186" s="294"/>
      <x:c r="E186" s="314"/>
      <x:c r="F186" s="307" t="str">
        <x:f>IF(OR(A186="",B186="",C186=""),"",SUMIFS('04_SAKERNAS_AGG'!$K$2:$K$301,'04_SAKERNAS_AGG'!$E$2:$E$301,A186,'04_SAKERNAS_AGG'!$F$2:$F$301,B186,'04_SAKERNAS_AGG'!$H$2:$H$301,C186))</x:f>
      </x:c>
      <x:c r="G186" s="307" t="str">
        <x:f>IF(OR(E186="",F186=""),"",E186*F186)</x:f>
      </x:c>
      <x:c r="H186" s="307" t="str">
        <x:f>IF(OR(A186="",B186="",G186=""),"",SUMIFS($G$2:$G$301,$A$2:$A$301,A186,$B$2:$B$301,B186))</x:f>
      </x:c>
      <x:c r="I186" s="308" t="str">
        <x:f>IFERROR(G186/H186,"")</x:f>
      </x:c>
      <x:c r="J186" s="235"/>
      <x:c r="K186" s="235"/>
      <x:c r="L186" s="235"/>
      <x:c r="M186" s="235"/>
      <x:c r="N186" s="315" t="str">
        <x:f>IF(OR(I186="",K186=""),"",100*I186*K186)</x:f>
      </x:c>
      <x:c r="O186" s="308" t="str">
        <x:f>IF(OR(I186="",M186=""),"",I186*M186)</x:f>
      </x:c>
      <x:c r="P186" s="235"/>
      <x:c r="Q186" s="235"/>
      <x:c r="R186" s="235"/>
      <x:c r="S186" s="308" t="str">
        <x:f>IF(OR(A186="",B186=""),"",SUMIFS($I$2:$I$301,$A$2:$A$301,A186,$B$2:$B$301,B186))</x:f>
      </x:c>
      <x:c r="T186" s="233" t="str">
        <x:f>IF(B186="","",IF(ABS(S186-1)&gt;0.000001,"ERROR_SHARE",IF(OR(Q186&lt;&gt;"VERIFIED",R186&lt;&gt;"VERIFIED"),"CHECK_MAPPING","OK")))</x:f>
      </x:c>
      <x:c r="U186" s="297"/>
    </x:row>
    <x:row r="187">
      <x:c r="A187" s="293"/>
      <x:c r="B187" s="235"/>
      <x:c r="C187" s="294"/>
      <x:c r="D187" s="294"/>
      <x:c r="E187" s="314"/>
      <x:c r="F187" s="307" t="str">
        <x:f>IF(OR(A187="",B187="",C187=""),"",SUMIFS('04_SAKERNAS_AGG'!$K$2:$K$301,'04_SAKERNAS_AGG'!$E$2:$E$301,A187,'04_SAKERNAS_AGG'!$F$2:$F$301,B187,'04_SAKERNAS_AGG'!$H$2:$H$301,C187))</x:f>
      </x:c>
      <x:c r="G187" s="307" t="str">
        <x:f>IF(OR(E187="",F187=""),"",E187*F187)</x:f>
      </x:c>
      <x:c r="H187" s="307" t="str">
        <x:f>IF(OR(A187="",B187="",G187=""),"",SUMIFS($G$2:$G$301,$A$2:$A$301,A187,$B$2:$B$301,B187))</x:f>
      </x:c>
      <x:c r="I187" s="308" t="str">
        <x:f>IFERROR(G187/H187,"")</x:f>
      </x:c>
      <x:c r="J187" s="235"/>
      <x:c r="K187" s="235"/>
      <x:c r="L187" s="235"/>
      <x:c r="M187" s="235"/>
      <x:c r="N187" s="315" t="str">
        <x:f>IF(OR(I187="",K187=""),"",100*I187*K187)</x:f>
      </x:c>
      <x:c r="O187" s="308" t="str">
        <x:f>IF(OR(I187="",M187=""),"",I187*M187)</x:f>
      </x:c>
      <x:c r="P187" s="235"/>
      <x:c r="Q187" s="235"/>
      <x:c r="R187" s="235"/>
      <x:c r="S187" s="308" t="str">
        <x:f>IF(OR(A187="",B187=""),"",SUMIFS($I$2:$I$301,$A$2:$A$301,A187,$B$2:$B$301,B187))</x:f>
      </x:c>
      <x:c r="T187" s="233" t="str">
        <x:f>IF(B187="","",IF(ABS(S187-1)&gt;0.000001,"ERROR_SHARE",IF(OR(Q187&lt;&gt;"VERIFIED",R187&lt;&gt;"VERIFIED"),"CHECK_MAPPING","OK")))</x:f>
      </x:c>
      <x:c r="U187" s="297"/>
    </x:row>
    <x:row r="188">
      <x:c r="A188" s="293"/>
      <x:c r="B188" s="235"/>
      <x:c r="C188" s="294"/>
      <x:c r="D188" s="294"/>
      <x:c r="E188" s="314"/>
      <x:c r="F188" s="307" t="str">
        <x:f>IF(OR(A188="",B188="",C188=""),"",SUMIFS('04_SAKERNAS_AGG'!$K$2:$K$301,'04_SAKERNAS_AGG'!$E$2:$E$301,A188,'04_SAKERNAS_AGG'!$F$2:$F$301,B188,'04_SAKERNAS_AGG'!$H$2:$H$301,C188))</x:f>
      </x:c>
      <x:c r="G188" s="307" t="str">
        <x:f>IF(OR(E188="",F188=""),"",E188*F188)</x:f>
      </x:c>
      <x:c r="H188" s="307" t="str">
        <x:f>IF(OR(A188="",B188="",G188=""),"",SUMIFS($G$2:$G$301,$A$2:$A$301,A188,$B$2:$B$301,B188))</x:f>
      </x:c>
      <x:c r="I188" s="308" t="str">
        <x:f>IFERROR(G188/H188,"")</x:f>
      </x:c>
      <x:c r="J188" s="235"/>
      <x:c r="K188" s="235"/>
      <x:c r="L188" s="235"/>
      <x:c r="M188" s="235"/>
      <x:c r="N188" s="315" t="str">
        <x:f>IF(OR(I188="",K188=""),"",100*I188*K188)</x:f>
      </x:c>
      <x:c r="O188" s="308" t="str">
        <x:f>IF(OR(I188="",M188=""),"",I188*M188)</x:f>
      </x:c>
      <x:c r="P188" s="235"/>
      <x:c r="Q188" s="235"/>
      <x:c r="R188" s="235"/>
      <x:c r="S188" s="308" t="str">
        <x:f>IF(OR(A188="",B188=""),"",SUMIFS($I$2:$I$301,$A$2:$A$301,A188,$B$2:$B$301,B188))</x:f>
      </x:c>
      <x:c r="T188" s="233" t="str">
        <x:f>IF(B188="","",IF(ABS(S188-1)&gt;0.000001,"ERROR_SHARE",IF(OR(Q188&lt;&gt;"VERIFIED",R188&lt;&gt;"VERIFIED"),"CHECK_MAPPING","OK")))</x:f>
      </x:c>
      <x:c r="U188" s="297"/>
    </x:row>
    <x:row r="189">
      <x:c r="A189" s="293"/>
      <x:c r="B189" s="235"/>
      <x:c r="C189" s="294"/>
      <x:c r="D189" s="294"/>
      <x:c r="E189" s="314"/>
      <x:c r="F189" s="307" t="str">
        <x:f>IF(OR(A189="",B189="",C189=""),"",SUMIFS('04_SAKERNAS_AGG'!$K$2:$K$301,'04_SAKERNAS_AGG'!$E$2:$E$301,A189,'04_SAKERNAS_AGG'!$F$2:$F$301,B189,'04_SAKERNAS_AGG'!$H$2:$H$301,C189))</x:f>
      </x:c>
      <x:c r="G189" s="307" t="str">
        <x:f>IF(OR(E189="",F189=""),"",E189*F189)</x:f>
      </x:c>
      <x:c r="H189" s="307" t="str">
        <x:f>IF(OR(A189="",B189="",G189=""),"",SUMIFS($G$2:$G$301,$A$2:$A$301,A189,$B$2:$B$301,B189))</x:f>
      </x:c>
      <x:c r="I189" s="308" t="str">
        <x:f>IFERROR(G189/H189,"")</x:f>
      </x:c>
      <x:c r="J189" s="235"/>
      <x:c r="K189" s="235"/>
      <x:c r="L189" s="235"/>
      <x:c r="M189" s="235"/>
      <x:c r="N189" s="315" t="str">
        <x:f>IF(OR(I189="",K189=""),"",100*I189*K189)</x:f>
      </x:c>
      <x:c r="O189" s="308" t="str">
        <x:f>IF(OR(I189="",M189=""),"",I189*M189)</x:f>
      </x:c>
      <x:c r="P189" s="235"/>
      <x:c r="Q189" s="235"/>
      <x:c r="R189" s="235"/>
      <x:c r="S189" s="308" t="str">
        <x:f>IF(OR(A189="",B189=""),"",SUMIFS($I$2:$I$301,$A$2:$A$301,A189,$B$2:$B$301,B189))</x:f>
      </x:c>
      <x:c r="T189" s="233" t="str">
        <x:f>IF(B189="","",IF(ABS(S189-1)&gt;0.000001,"ERROR_SHARE",IF(OR(Q189&lt;&gt;"VERIFIED",R189&lt;&gt;"VERIFIED"),"CHECK_MAPPING","OK")))</x:f>
      </x:c>
      <x:c r="U189" s="297"/>
    </x:row>
    <x:row r="190">
      <x:c r="A190" s="293"/>
      <x:c r="B190" s="235"/>
      <x:c r="C190" s="294"/>
      <x:c r="D190" s="294"/>
      <x:c r="E190" s="314"/>
      <x:c r="F190" s="307" t="str">
        <x:f>IF(OR(A190="",B190="",C190=""),"",SUMIFS('04_SAKERNAS_AGG'!$K$2:$K$301,'04_SAKERNAS_AGG'!$E$2:$E$301,A190,'04_SAKERNAS_AGG'!$F$2:$F$301,B190,'04_SAKERNAS_AGG'!$H$2:$H$301,C190))</x:f>
      </x:c>
      <x:c r="G190" s="307" t="str">
        <x:f>IF(OR(E190="",F190=""),"",E190*F190)</x:f>
      </x:c>
      <x:c r="H190" s="307" t="str">
        <x:f>IF(OR(A190="",B190="",G190=""),"",SUMIFS($G$2:$G$301,$A$2:$A$301,A190,$B$2:$B$301,B190))</x:f>
      </x:c>
      <x:c r="I190" s="308" t="str">
        <x:f>IFERROR(G190/H190,"")</x:f>
      </x:c>
      <x:c r="J190" s="235"/>
      <x:c r="K190" s="235"/>
      <x:c r="L190" s="235"/>
      <x:c r="M190" s="235"/>
      <x:c r="N190" s="315" t="str">
        <x:f>IF(OR(I190="",K190=""),"",100*I190*K190)</x:f>
      </x:c>
      <x:c r="O190" s="308" t="str">
        <x:f>IF(OR(I190="",M190=""),"",I190*M190)</x:f>
      </x:c>
      <x:c r="P190" s="235"/>
      <x:c r="Q190" s="235"/>
      <x:c r="R190" s="235"/>
      <x:c r="S190" s="308" t="str">
        <x:f>IF(OR(A190="",B190=""),"",SUMIFS($I$2:$I$301,$A$2:$A$301,A190,$B$2:$B$301,B190))</x:f>
      </x:c>
      <x:c r="T190" s="233" t="str">
        <x:f>IF(B190="","",IF(ABS(S190-1)&gt;0.000001,"ERROR_SHARE",IF(OR(Q190&lt;&gt;"VERIFIED",R190&lt;&gt;"VERIFIED"),"CHECK_MAPPING","OK")))</x:f>
      </x:c>
      <x:c r="U190" s="297"/>
    </x:row>
    <x:row r="191">
      <x:c r="A191" s="293"/>
      <x:c r="B191" s="235"/>
      <x:c r="C191" s="294"/>
      <x:c r="D191" s="294"/>
      <x:c r="E191" s="314"/>
      <x:c r="F191" s="307" t="str">
        <x:f>IF(OR(A191="",B191="",C191=""),"",SUMIFS('04_SAKERNAS_AGG'!$K$2:$K$301,'04_SAKERNAS_AGG'!$E$2:$E$301,A191,'04_SAKERNAS_AGG'!$F$2:$F$301,B191,'04_SAKERNAS_AGG'!$H$2:$H$301,C191))</x:f>
      </x:c>
      <x:c r="G191" s="307" t="str">
        <x:f>IF(OR(E191="",F191=""),"",E191*F191)</x:f>
      </x:c>
      <x:c r="H191" s="307" t="str">
        <x:f>IF(OR(A191="",B191="",G191=""),"",SUMIFS($G$2:$G$301,$A$2:$A$301,A191,$B$2:$B$301,B191))</x:f>
      </x:c>
      <x:c r="I191" s="308" t="str">
        <x:f>IFERROR(G191/H191,"")</x:f>
      </x:c>
      <x:c r="J191" s="235"/>
      <x:c r="K191" s="235"/>
      <x:c r="L191" s="235"/>
      <x:c r="M191" s="235"/>
      <x:c r="N191" s="315" t="str">
        <x:f>IF(OR(I191="",K191=""),"",100*I191*K191)</x:f>
      </x:c>
      <x:c r="O191" s="308" t="str">
        <x:f>IF(OR(I191="",M191=""),"",I191*M191)</x:f>
      </x:c>
      <x:c r="P191" s="235"/>
      <x:c r="Q191" s="235"/>
      <x:c r="R191" s="235"/>
      <x:c r="S191" s="308" t="str">
        <x:f>IF(OR(A191="",B191=""),"",SUMIFS($I$2:$I$301,$A$2:$A$301,A191,$B$2:$B$301,B191))</x:f>
      </x:c>
      <x:c r="T191" s="233" t="str">
        <x:f>IF(B191="","",IF(ABS(S191-1)&gt;0.000001,"ERROR_SHARE",IF(OR(Q191&lt;&gt;"VERIFIED",R191&lt;&gt;"VERIFIED"),"CHECK_MAPPING","OK")))</x:f>
      </x:c>
      <x:c r="U191" s="297"/>
    </x:row>
    <x:row r="192">
      <x:c r="A192" s="293"/>
      <x:c r="B192" s="235"/>
      <x:c r="C192" s="294"/>
      <x:c r="D192" s="294"/>
      <x:c r="E192" s="314"/>
      <x:c r="F192" s="307" t="str">
        <x:f>IF(OR(A192="",B192="",C192=""),"",SUMIFS('04_SAKERNAS_AGG'!$K$2:$K$301,'04_SAKERNAS_AGG'!$E$2:$E$301,A192,'04_SAKERNAS_AGG'!$F$2:$F$301,B192,'04_SAKERNAS_AGG'!$H$2:$H$301,C192))</x:f>
      </x:c>
      <x:c r="G192" s="307" t="str">
        <x:f>IF(OR(E192="",F192=""),"",E192*F192)</x:f>
      </x:c>
      <x:c r="H192" s="307" t="str">
        <x:f>IF(OR(A192="",B192="",G192=""),"",SUMIFS($G$2:$G$301,$A$2:$A$301,A192,$B$2:$B$301,B192))</x:f>
      </x:c>
      <x:c r="I192" s="308" t="str">
        <x:f>IFERROR(G192/H192,"")</x:f>
      </x:c>
      <x:c r="J192" s="235"/>
      <x:c r="K192" s="235"/>
      <x:c r="L192" s="235"/>
      <x:c r="M192" s="235"/>
      <x:c r="N192" s="315" t="str">
        <x:f>IF(OR(I192="",K192=""),"",100*I192*K192)</x:f>
      </x:c>
      <x:c r="O192" s="308" t="str">
        <x:f>IF(OR(I192="",M192=""),"",I192*M192)</x:f>
      </x:c>
      <x:c r="P192" s="235"/>
      <x:c r="Q192" s="235"/>
      <x:c r="R192" s="235"/>
      <x:c r="S192" s="308" t="str">
        <x:f>IF(OR(A192="",B192=""),"",SUMIFS($I$2:$I$301,$A$2:$A$301,A192,$B$2:$B$301,B192))</x:f>
      </x:c>
      <x:c r="T192" s="233" t="str">
        <x:f>IF(B192="","",IF(ABS(S192-1)&gt;0.000001,"ERROR_SHARE",IF(OR(Q192&lt;&gt;"VERIFIED",R192&lt;&gt;"VERIFIED"),"CHECK_MAPPING","OK")))</x:f>
      </x:c>
      <x:c r="U192" s="297"/>
    </x:row>
    <x:row r="193">
      <x:c r="A193" s="293"/>
      <x:c r="B193" s="235"/>
      <x:c r="C193" s="294"/>
      <x:c r="D193" s="294"/>
      <x:c r="E193" s="314"/>
      <x:c r="F193" s="307" t="str">
        <x:f>IF(OR(A193="",B193="",C193=""),"",SUMIFS('04_SAKERNAS_AGG'!$K$2:$K$301,'04_SAKERNAS_AGG'!$E$2:$E$301,A193,'04_SAKERNAS_AGG'!$F$2:$F$301,B193,'04_SAKERNAS_AGG'!$H$2:$H$301,C193))</x:f>
      </x:c>
      <x:c r="G193" s="307" t="str">
        <x:f>IF(OR(E193="",F193=""),"",E193*F193)</x:f>
      </x:c>
      <x:c r="H193" s="307" t="str">
        <x:f>IF(OR(A193="",B193="",G193=""),"",SUMIFS($G$2:$G$301,$A$2:$A$301,A193,$B$2:$B$301,B193))</x:f>
      </x:c>
      <x:c r="I193" s="308" t="str">
        <x:f>IFERROR(G193/H193,"")</x:f>
      </x:c>
      <x:c r="J193" s="235"/>
      <x:c r="K193" s="235"/>
      <x:c r="L193" s="235"/>
      <x:c r="M193" s="235"/>
      <x:c r="N193" s="315" t="str">
        <x:f>IF(OR(I193="",K193=""),"",100*I193*K193)</x:f>
      </x:c>
      <x:c r="O193" s="308" t="str">
        <x:f>IF(OR(I193="",M193=""),"",I193*M193)</x:f>
      </x:c>
      <x:c r="P193" s="235"/>
      <x:c r="Q193" s="235"/>
      <x:c r="R193" s="235"/>
      <x:c r="S193" s="308" t="str">
        <x:f>IF(OR(A193="",B193=""),"",SUMIFS($I$2:$I$301,$A$2:$A$301,A193,$B$2:$B$301,B193))</x:f>
      </x:c>
      <x:c r="T193" s="233" t="str">
        <x:f>IF(B193="","",IF(ABS(S193-1)&gt;0.000001,"ERROR_SHARE",IF(OR(Q193&lt;&gt;"VERIFIED",R193&lt;&gt;"VERIFIED"),"CHECK_MAPPING","OK")))</x:f>
      </x:c>
      <x:c r="U193" s="297"/>
    </x:row>
    <x:row r="194">
      <x:c r="A194" s="293"/>
      <x:c r="B194" s="235"/>
      <x:c r="C194" s="294"/>
      <x:c r="D194" s="294"/>
      <x:c r="E194" s="314"/>
      <x:c r="F194" s="307" t="str">
        <x:f>IF(OR(A194="",B194="",C194=""),"",SUMIFS('04_SAKERNAS_AGG'!$K$2:$K$301,'04_SAKERNAS_AGG'!$E$2:$E$301,A194,'04_SAKERNAS_AGG'!$F$2:$F$301,B194,'04_SAKERNAS_AGG'!$H$2:$H$301,C194))</x:f>
      </x:c>
      <x:c r="G194" s="307" t="str">
        <x:f>IF(OR(E194="",F194=""),"",E194*F194)</x:f>
      </x:c>
      <x:c r="H194" s="307" t="str">
        <x:f>IF(OR(A194="",B194="",G194=""),"",SUMIFS($G$2:$G$301,$A$2:$A$301,A194,$B$2:$B$301,B194))</x:f>
      </x:c>
      <x:c r="I194" s="308" t="str">
        <x:f>IFERROR(G194/H194,"")</x:f>
      </x:c>
      <x:c r="J194" s="235"/>
      <x:c r="K194" s="235"/>
      <x:c r="L194" s="235"/>
      <x:c r="M194" s="235"/>
      <x:c r="N194" s="315" t="str">
        <x:f>IF(OR(I194="",K194=""),"",100*I194*K194)</x:f>
      </x:c>
      <x:c r="O194" s="308" t="str">
        <x:f>IF(OR(I194="",M194=""),"",I194*M194)</x:f>
      </x:c>
      <x:c r="P194" s="235"/>
      <x:c r="Q194" s="235"/>
      <x:c r="R194" s="235"/>
      <x:c r="S194" s="308" t="str">
        <x:f>IF(OR(A194="",B194=""),"",SUMIFS($I$2:$I$301,$A$2:$A$301,A194,$B$2:$B$301,B194))</x:f>
      </x:c>
      <x:c r="T194" s="233" t="str">
        <x:f>IF(B194="","",IF(ABS(S194-1)&gt;0.000001,"ERROR_SHARE",IF(OR(Q194&lt;&gt;"VERIFIED",R194&lt;&gt;"VERIFIED"),"CHECK_MAPPING","OK")))</x:f>
      </x:c>
      <x:c r="U194" s="297"/>
    </x:row>
    <x:row r="195">
      <x:c r="A195" s="293"/>
      <x:c r="B195" s="235"/>
      <x:c r="C195" s="294"/>
      <x:c r="D195" s="294"/>
      <x:c r="E195" s="314"/>
      <x:c r="F195" s="307" t="str">
        <x:f>IF(OR(A195="",B195="",C195=""),"",SUMIFS('04_SAKERNAS_AGG'!$K$2:$K$301,'04_SAKERNAS_AGG'!$E$2:$E$301,A195,'04_SAKERNAS_AGG'!$F$2:$F$301,B195,'04_SAKERNAS_AGG'!$H$2:$H$301,C195))</x:f>
      </x:c>
      <x:c r="G195" s="307" t="str">
        <x:f>IF(OR(E195="",F195=""),"",E195*F195)</x:f>
      </x:c>
      <x:c r="H195" s="307" t="str">
        <x:f>IF(OR(A195="",B195="",G195=""),"",SUMIFS($G$2:$G$301,$A$2:$A$301,A195,$B$2:$B$301,B195))</x:f>
      </x:c>
      <x:c r="I195" s="308" t="str">
        <x:f>IFERROR(G195/H195,"")</x:f>
      </x:c>
      <x:c r="J195" s="235"/>
      <x:c r="K195" s="235"/>
      <x:c r="L195" s="235"/>
      <x:c r="M195" s="235"/>
      <x:c r="N195" s="315" t="str">
        <x:f>IF(OR(I195="",K195=""),"",100*I195*K195)</x:f>
      </x:c>
      <x:c r="O195" s="308" t="str">
        <x:f>IF(OR(I195="",M195=""),"",I195*M195)</x:f>
      </x:c>
      <x:c r="P195" s="235"/>
      <x:c r="Q195" s="235"/>
      <x:c r="R195" s="235"/>
      <x:c r="S195" s="308" t="str">
        <x:f>IF(OR(A195="",B195=""),"",SUMIFS($I$2:$I$301,$A$2:$A$301,A195,$B$2:$B$301,B195))</x:f>
      </x:c>
      <x:c r="T195" s="233" t="str">
        <x:f>IF(B195="","",IF(ABS(S195-1)&gt;0.000001,"ERROR_SHARE",IF(OR(Q195&lt;&gt;"VERIFIED",R195&lt;&gt;"VERIFIED"),"CHECK_MAPPING","OK")))</x:f>
      </x:c>
      <x:c r="U195" s="297"/>
    </x:row>
    <x:row r="196">
      <x:c r="A196" s="293"/>
      <x:c r="B196" s="235"/>
      <x:c r="C196" s="294"/>
      <x:c r="D196" s="294"/>
      <x:c r="E196" s="314"/>
      <x:c r="F196" s="307" t="str">
        <x:f>IF(OR(A196="",B196="",C196=""),"",SUMIFS('04_SAKERNAS_AGG'!$K$2:$K$301,'04_SAKERNAS_AGG'!$E$2:$E$301,A196,'04_SAKERNAS_AGG'!$F$2:$F$301,B196,'04_SAKERNAS_AGG'!$H$2:$H$301,C196))</x:f>
      </x:c>
      <x:c r="G196" s="307" t="str">
        <x:f>IF(OR(E196="",F196=""),"",E196*F196)</x:f>
      </x:c>
      <x:c r="H196" s="307" t="str">
        <x:f>IF(OR(A196="",B196="",G196=""),"",SUMIFS($G$2:$G$301,$A$2:$A$301,A196,$B$2:$B$301,B196))</x:f>
      </x:c>
      <x:c r="I196" s="308" t="str">
        <x:f>IFERROR(G196/H196,"")</x:f>
      </x:c>
      <x:c r="J196" s="235"/>
      <x:c r="K196" s="235"/>
      <x:c r="L196" s="235"/>
      <x:c r="M196" s="235"/>
      <x:c r="N196" s="315" t="str">
        <x:f>IF(OR(I196="",K196=""),"",100*I196*K196)</x:f>
      </x:c>
      <x:c r="O196" s="308" t="str">
        <x:f>IF(OR(I196="",M196=""),"",I196*M196)</x:f>
      </x:c>
      <x:c r="P196" s="235"/>
      <x:c r="Q196" s="235"/>
      <x:c r="R196" s="235"/>
      <x:c r="S196" s="308" t="str">
        <x:f>IF(OR(A196="",B196=""),"",SUMIFS($I$2:$I$301,$A$2:$A$301,A196,$B$2:$B$301,B196))</x:f>
      </x:c>
      <x:c r="T196" s="233" t="str">
        <x:f>IF(B196="","",IF(ABS(S196-1)&gt;0.000001,"ERROR_SHARE",IF(OR(Q196&lt;&gt;"VERIFIED",R196&lt;&gt;"VERIFIED"),"CHECK_MAPPING","OK")))</x:f>
      </x:c>
      <x:c r="U196" s="297"/>
    </x:row>
    <x:row r="197">
      <x:c r="A197" s="293"/>
      <x:c r="B197" s="235"/>
      <x:c r="C197" s="294"/>
      <x:c r="D197" s="294"/>
      <x:c r="E197" s="314"/>
      <x:c r="F197" s="307" t="str">
        <x:f>IF(OR(A197="",B197="",C197=""),"",SUMIFS('04_SAKERNAS_AGG'!$K$2:$K$301,'04_SAKERNAS_AGG'!$E$2:$E$301,A197,'04_SAKERNAS_AGG'!$F$2:$F$301,B197,'04_SAKERNAS_AGG'!$H$2:$H$301,C197))</x:f>
      </x:c>
      <x:c r="G197" s="307" t="str">
        <x:f>IF(OR(E197="",F197=""),"",E197*F197)</x:f>
      </x:c>
      <x:c r="H197" s="307" t="str">
        <x:f>IF(OR(A197="",B197="",G197=""),"",SUMIFS($G$2:$G$301,$A$2:$A$301,A197,$B$2:$B$301,B197))</x:f>
      </x:c>
      <x:c r="I197" s="308" t="str">
        <x:f>IFERROR(G197/H197,"")</x:f>
      </x:c>
      <x:c r="J197" s="235"/>
      <x:c r="K197" s="235"/>
      <x:c r="L197" s="235"/>
      <x:c r="M197" s="235"/>
      <x:c r="N197" s="315" t="str">
        <x:f>IF(OR(I197="",K197=""),"",100*I197*K197)</x:f>
      </x:c>
      <x:c r="O197" s="308" t="str">
        <x:f>IF(OR(I197="",M197=""),"",I197*M197)</x:f>
      </x:c>
      <x:c r="P197" s="235"/>
      <x:c r="Q197" s="235"/>
      <x:c r="R197" s="235"/>
      <x:c r="S197" s="308" t="str">
        <x:f>IF(OR(A197="",B197=""),"",SUMIFS($I$2:$I$301,$A$2:$A$301,A197,$B$2:$B$301,B197))</x:f>
      </x:c>
      <x:c r="T197" s="233" t="str">
        <x:f>IF(B197="","",IF(ABS(S197-1)&gt;0.000001,"ERROR_SHARE",IF(OR(Q197&lt;&gt;"VERIFIED",R197&lt;&gt;"VERIFIED"),"CHECK_MAPPING","OK")))</x:f>
      </x:c>
      <x:c r="U197" s="297"/>
    </x:row>
    <x:row r="198">
      <x:c r="A198" s="293"/>
      <x:c r="B198" s="235"/>
      <x:c r="C198" s="294"/>
      <x:c r="D198" s="294"/>
      <x:c r="E198" s="314"/>
      <x:c r="F198" s="307" t="str">
        <x:f>IF(OR(A198="",B198="",C198=""),"",SUMIFS('04_SAKERNAS_AGG'!$K$2:$K$301,'04_SAKERNAS_AGG'!$E$2:$E$301,A198,'04_SAKERNAS_AGG'!$F$2:$F$301,B198,'04_SAKERNAS_AGG'!$H$2:$H$301,C198))</x:f>
      </x:c>
      <x:c r="G198" s="307" t="str">
        <x:f>IF(OR(E198="",F198=""),"",E198*F198)</x:f>
      </x:c>
      <x:c r="H198" s="307" t="str">
        <x:f>IF(OR(A198="",B198="",G198=""),"",SUMIFS($G$2:$G$301,$A$2:$A$301,A198,$B$2:$B$301,B198))</x:f>
      </x:c>
      <x:c r="I198" s="308" t="str">
        <x:f>IFERROR(G198/H198,"")</x:f>
      </x:c>
      <x:c r="J198" s="235"/>
      <x:c r="K198" s="235"/>
      <x:c r="L198" s="235"/>
      <x:c r="M198" s="235"/>
      <x:c r="N198" s="315" t="str">
        <x:f>IF(OR(I198="",K198=""),"",100*I198*K198)</x:f>
      </x:c>
      <x:c r="O198" s="308" t="str">
        <x:f>IF(OR(I198="",M198=""),"",I198*M198)</x:f>
      </x:c>
      <x:c r="P198" s="235"/>
      <x:c r="Q198" s="235"/>
      <x:c r="R198" s="235"/>
      <x:c r="S198" s="308" t="str">
        <x:f>IF(OR(A198="",B198=""),"",SUMIFS($I$2:$I$301,$A$2:$A$301,A198,$B$2:$B$301,B198))</x:f>
      </x:c>
      <x:c r="T198" s="233" t="str">
        <x:f>IF(B198="","",IF(ABS(S198-1)&gt;0.000001,"ERROR_SHARE",IF(OR(Q198&lt;&gt;"VERIFIED",R198&lt;&gt;"VERIFIED"),"CHECK_MAPPING","OK")))</x:f>
      </x:c>
      <x:c r="U198" s="297"/>
    </x:row>
    <x:row r="199">
      <x:c r="A199" s="293"/>
      <x:c r="B199" s="235"/>
      <x:c r="C199" s="294"/>
      <x:c r="D199" s="294"/>
      <x:c r="E199" s="314"/>
      <x:c r="F199" s="307" t="str">
        <x:f>IF(OR(A199="",B199="",C199=""),"",SUMIFS('04_SAKERNAS_AGG'!$K$2:$K$301,'04_SAKERNAS_AGG'!$E$2:$E$301,A199,'04_SAKERNAS_AGG'!$F$2:$F$301,B199,'04_SAKERNAS_AGG'!$H$2:$H$301,C199))</x:f>
      </x:c>
      <x:c r="G199" s="307" t="str">
        <x:f>IF(OR(E199="",F199=""),"",E199*F199)</x:f>
      </x:c>
      <x:c r="H199" s="307" t="str">
        <x:f>IF(OR(A199="",B199="",G199=""),"",SUMIFS($G$2:$G$301,$A$2:$A$301,A199,$B$2:$B$301,B199))</x:f>
      </x:c>
      <x:c r="I199" s="308" t="str">
        <x:f>IFERROR(G199/H199,"")</x:f>
      </x:c>
      <x:c r="J199" s="235"/>
      <x:c r="K199" s="235"/>
      <x:c r="L199" s="235"/>
      <x:c r="M199" s="235"/>
      <x:c r="N199" s="315" t="str">
        <x:f>IF(OR(I199="",K199=""),"",100*I199*K199)</x:f>
      </x:c>
      <x:c r="O199" s="308" t="str">
        <x:f>IF(OR(I199="",M199=""),"",I199*M199)</x:f>
      </x:c>
      <x:c r="P199" s="235"/>
      <x:c r="Q199" s="235"/>
      <x:c r="R199" s="235"/>
      <x:c r="S199" s="308" t="str">
        <x:f>IF(OR(A199="",B199=""),"",SUMIFS($I$2:$I$301,$A$2:$A$301,A199,$B$2:$B$301,B199))</x:f>
      </x:c>
      <x:c r="T199" s="233" t="str">
        <x:f>IF(B199="","",IF(ABS(S199-1)&gt;0.000001,"ERROR_SHARE",IF(OR(Q199&lt;&gt;"VERIFIED",R199&lt;&gt;"VERIFIED"),"CHECK_MAPPING","OK")))</x:f>
      </x:c>
      <x:c r="U199" s="297"/>
    </x:row>
    <x:row r="200">
      <x:c r="A200" s="293"/>
      <x:c r="B200" s="235"/>
      <x:c r="C200" s="294"/>
      <x:c r="D200" s="294"/>
      <x:c r="E200" s="314"/>
      <x:c r="F200" s="307" t="str">
        <x:f>IF(OR(A200="",B200="",C200=""),"",SUMIFS('04_SAKERNAS_AGG'!$K$2:$K$301,'04_SAKERNAS_AGG'!$E$2:$E$301,A200,'04_SAKERNAS_AGG'!$F$2:$F$301,B200,'04_SAKERNAS_AGG'!$H$2:$H$301,C200))</x:f>
      </x:c>
      <x:c r="G200" s="307" t="str">
        <x:f>IF(OR(E200="",F200=""),"",E200*F200)</x:f>
      </x:c>
      <x:c r="H200" s="307" t="str">
        <x:f>IF(OR(A200="",B200="",G200=""),"",SUMIFS($G$2:$G$301,$A$2:$A$301,A200,$B$2:$B$301,B200))</x:f>
      </x:c>
      <x:c r="I200" s="308" t="str">
        <x:f>IFERROR(G200/H200,"")</x:f>
      </x:c>
      <x:c r="J200" s="235"/>
      <x:c r="K200" s="235"/>
      <x:c r="L200" s="235"/>
      <x:c r="M200" s="235"/>
      <x:c r="N200" s="315" t="str">
        <x:f>IF(OR(I200="",K200=""),"",100*I200*K200)</x:f>
      </x:c>
      <x:c r="O200" s="308" t="str">
        <x:f>IF(OR(I200="",M200=""),"",I200*M200)</x:f>
      </x:c>
      <x:c r="P200" s="235"/>
      <x:c r="Q200" s="235"/>
      <x:c r="R200" s="235"/>
      <x:c r="S200" s="308" t="str">
        <x:f>IF(OR(A200="",B200=""),"",SUMIFS($I$2:$I$301,$A$2:$A$301,A200,$B$2:$B$301,B200))</x:f>
      </x:c>
      <x:c r="T200" s="233" t="str">
        <x:f>IF(B200="","",IF(ABS(S200-1)&gt;0.000001,"ERROR_SHARE",IF(OR(Q200&lt;&gt;"VERIFIED",R200&lt;&gt;"VERIFIED"),"CHECK_MAPPING","OK")))</x:f>
      </x:c>
      <x:c r="U200" s="297"/>
    </x:row>
    <x:row r="201">
      <x:c r="A201" s="293"/>
      <x:c r="B201" s="235"/>
      <x:c r="C201" s="294"/>
      <x:c r="D201" s="294"/>
      <x:c r="E201" s="314"/>
      <x:c r="F201" s="307" t="str">
        <x:f>IF(OR(A201="",B201="",C201=""),"",SUMIFS('04_SAKERNAS_AGG'!$K$2:$K$301,'04_SAKERNAS_AGG'!$E$2:$E$301,A201,'04_SAKERNAS_AGG'!$F$2:$F$301,B201,'04_SAKERNAS_AGG'!$H$2:$H$301,C201))</x:f>
      </x:c>
      <x:c r="G201" s="307" t="str">
        <x:f>IF(OR(E201="",F201=""),"",E201*F201)</x:f>
      </x:c>
      <x:c r="H201" s="307" t="str">
        <x:f>IF(OR(A201="",B201="",G201=""),"",SUMIFS($G$2:$G$301,$A$2:$A$301,A201,$B$2:$B$301,B201))</x:f>
      </x:c>
      <x:c r="I201" s="308" t="str">
        <x:f>IFERROR(G201/H201,"")</x:f>
      </x:c>
      <x:c r="J201" s="235"/>
      <x:c r="K201" s="235"/>
      <x:c r="L201" s="235"/>
      <x:c r="M201" s="235"/>
      <x:c r="N201" s="315" t="str">
        <x:f>IF(OR(I201="",K201=""),"",100*I201*K201)</x:f>
      </x:c>
      <x:c r="O201" s="308" t="str">
        <x:f>IF(OR(I201="",M201=""),"",I201*M201)</x:f>
      </x:c>
      <x:c r="P201" s="235"/>
      <x:c r="Q201" s="235"/>
      <x:c r="R201" s="235"/>
      <x:c r="S201" s="308" t="str">
        <x:f>IF(OR(A201="",B201=""),"",SUMIFS($I$2:$I$301,$A$2:$A$301,A201,$B$2:$B$301,B201))</x:f>
      </x:c>
      <x:c r="T201" s="233" t="str">
        <x:f>IF(B201="","",IF(ABS(S201-1)&gt;0.000001,"ERROR_SHARE",IF(OR(Q201&lt;&gt;"VERIFIED",R201&lt;&gt;"VERIFIED"),"CHECK_MAPPING","OK")))</x:f>
      </x:c>
      <x:c r="U201" s="297"/>
    </x:row>
    <x:row r="202">
      <x:c r="A202" s="293"/>
      <x:c r="B202" s="235"/>
      <x:c r="C202" s="294"/>
      <x:c r="D202" s="294"/>
      <x:c r="E202" s="314"/>
      <x:c r="F202" s="307" t="str">
        <x:f>IF(OR(A202="",B202="",C202=""),"",SUMIFS('04_SAKERNAS_AGG'!$K$2:$K$301,'04_SAKERNAS_AGG'!$E$2:$E$301,A202,'04_SAKERNAS_AGG'!$F$2:$F$301,B202,'04_SAKERNAS_AGG'!$H$2:$H$301,C202))</x:f>
      </x:c>
      <x:c r="G202" s="307" t="str">
        <x:f>IF(OR(E202="",F202=""),"",E202*F202)</x:f>
      </x:c>
      <x:c r="H202" s="307" t="str">
        <x:f>IF(OR(A202="",B202="",G202=""),"",SUMIFS($G$2:$G$301,$A$2:$A$301,A202,$B$2:$B$301,B202))</x:f>
      </x:c>
      <x:c r="I202" s="308" t="str">
        <x:f>IFERROR(G202/H202,"")</x:f>
      </x:c>
      <x:c r="J202" s="235"/>
      <x:c r="K202" s="235"/>
      <x:c r="L202" s="235"/>
      <x:c r="M202" s="235"/>
      <x:c r="N202" s="315" t="str">
        <x:f>IF(OR(I202="",K202=""),"",100*I202*K202)</x:f>
      </x:c>
      <x:c r="O202" s="308" t="str">
        <x:f>IF(OR(I202="",M202=""),"",I202*M202)</x:f>
      </x:c>
      <x:c r="P202" s="235"/>
      <x:c r="Q202" s="235"/>
      <x:c r="R202" s="235"/>
      <x:c r="S202" s="308" t="str">
        <x:f>IF(OR(A202="",B202=""),"",SUMIFS($I$2:$I$301,$A$2:$A$301,A202,$B$2:$B$301,B202))</x:f>
      </x:c>
      <x:c r="T202" s="233" t="str">
        <x:f>IF(B202="","",IF(ABS(S202-1)&gt;0.000001,"ERROR_SHARE",IF(OR(Q202&lt;&gt;"VERIFIED",R202&lt;&gt;"VERIFIED"),"CHECK_MAPPING","OK")))</x:f>
      </x:c>
      <x:c r="U202" s="297"/>
    </x:row>
    <x:row r="203">
      <x:c r="A203" s="293"/>
      <x:c r="B203" s="235"/>
      <x:c r="C203" s="294"/>
      <x:c r="D203" s="294"/>
      <x:c r="E203" s="314"/>
      <x:c r="F203" s="307" t="str">
        <x:f>IF(OR(A203="",B203="",C203=""),"",SUMIFS('04_SAKERNAS_AGG'!$K$2:$K$301,'04_SAKERNAS_AGG'!$E$2:$E$301,A203,'04_SAKERNAS_AGG'!$F$2:$F$301,B203,'04_SAKERNAS_AGG'!$H$2:$H$301,C203))</x:f>
      </x:c>
      <x:c r="G203" s="307" t="str">
        <x:f>IF(OR(E203="",F203=""),"",E203*F203)</x:f>
      </x:c>
      <x:c r="H203" s="307" t="str">
        <x:f>IF(OR(A203="",B203="",G203=""),"",SUMIFS($G$2:$G$301,$A$2:$A$301,A203,$B$2:$B$301,B203))</x:f>
      </x:c>
      <x:c r="I203" s="308" t="str">
        <x:f>IFERROR(G203/H203,"")</x:f>
      </x:c>
      <x:c r="J203" s="235"/>
      <x:c r="K203" s="235"/>
      <x:c r="L203" s="235"/>
      <x:c r="M203" s="235"/>
      <x:c r="N203" s="315" t="str">
        <x:f>IF(OR(I203="",K203=""),"",100*I203*K203)</x:f>
      </x:c>
      <x:c r="O203" s="308" t="str">
        <x:f>IF(OR(I203="",M203=""),"",I203*M203)</x:f>
      </x:c>
      <x:c r="P203" s="235"/>
      <x:c r="Q203" s="235"/>
      <x:c r="R203" s="235"/>
      <x:c r="S203" s="308" t="str">
        <x:f>IF(OR(A203="",B203=""),"",SUMIFS($I$2:$I$301,$A$2:$A$301,A203,$B$2:$B$301,B203))</x:f>
      </x:c>
      <x:c r="T203" s="233" t="str">
        <x:f>IF(B203="","",IF(ABS(S203-1)&gt;0.000001,"ERROR_SHARE",IF(OR(Q203&lt;&gt;"VERIFIED",R203&lt;&gt;"VERIFIED"),"CHECK_MAPPING","OK")))</x:f>
      </x:c>
      <x:c r="U203" s="297"/>
    </x:row>
    <x:row r="204">
      <x:c r="A204" s="293"/>
      <x:c r="B204" s="235"/>
      <x:c r="C204" s="294"/>
      <x:c r="D204" s="294"/>
      <x:c r="E204" s="314"/>
      <x:c r="F204" s="307" t="str">
        <x:f>IF(OR(A204="",B204="",C204=""),"",SUMIFS('04_SAKERNAS_AGG'!$K$2:$K$301,'04_SAKERNAS_AGG'!$E$2:$E$301,A204,'04_SAKERNAS_AGG'!$F$2:$F$301,B204,'04_SAKERNAS_AGG'!$H$2:$H$301,C204))</x:f>
      </x:c>
      <x:c r="G204" s="307" t="str">
        <x:f>IF(OR(E204="",F204=""),"",E204*F204)</x:f>
      </x:c>
      <x:c r="H204" s="307" t="str">
        <x:f>IF(OR(A204="",B204="",G204=""),"",SUMIFS($G$2:$G$301,$A$2:$A$301,A204,$B$2:$B$301,B204))</x:f>
      </x:c>
      <x:c r="I204" s="308" t="str">
        <x:f>IFERROR(G204/H204,"")</x:f>
      </x:c>
      <x:c r="J204" s="235"/>
      <x:c r="K204" s="235"/>
      <x:c r="L204" s="235"/>
      <x:c r="M204" s="235"/>
      <x:c r="N204" s="315" t="str">
        <x:f>IF(OR(I204="",K204=""),"",100*I204*K204)</x:f>
      </x:c>
      <x:c r="O204" s="308" t="str">
        <x:f>IF(OR(I204="",M204=""),"",I204*M204)</x:f>
      </x:c>
      <x:c r="P204" s="235"/>
      <x:c r="Q204" s="235"/>
      <x:c r="R204" s="235"/>
      <x:c r="S204" s="308" t="str">
        <x:f>IF(OR(A204="",B204=""),"",SUMIFS($I$2:$I$301,$A$2:$A$301,A204,$B$2:$B$301,B204))</x:f>
      </x:c>
      <x:c r="T204" s="233" t="str">
        <x:f>IF(B204="","",IF(ABS(S204-1)&gt;0.000001,"ERROR_SHARE",IF(OR(Q204&lt;&gt;"VERIFIED",R204&lt;&gt;"VERIFIED"),"CHECK_MAPPING","OK")))</x:f>
      </x:c>
      <x:c r="U204" s="297"/>
    </x:row>
    <x:row r="205">
      <x:c r="A205" s="293"/>
      <x:c r="B205" s="235"/>
      <x:c r="C205" s="294"/>
      <x:c r="D205" s="294"/>
      <x:c r="E205" s="314"/>
      <x:c r="F205" s="307" t="str">
        <x:f>IF(OR(A205="",B205="",C205=""),"",SUMIFS('04_SAKERNAS_AGG'!$K$2:$K$301,'04_SAKERNAS_AGG'!$E$2:$E$301,A205,'04_SAKERNAS_AGG'!$F$2:$F$301,B205,'04_SAKERNAS_AGG'!$H$2:$H$301,C205))</x:f>
      </x:c>
      <x:c r="G205" s="307" t="str">
        <x:f>IF(OR(E205="",F205=""),"",E205*F205)</x:f>
      </x:c>
      <x:c r="H205" s="307" t="str">
        <x:f>IF(OR(A205="",B205="",G205=""),"",SUMIFS($G$2:$G$301,$A$2:$A$301,A205,$B$2:$B$301,B205))</x:f>
      </x:c>
      <x:c r="I205" s="308" t="str">
        <x:f>IFERROR(G205/H205,"")</x:f>
      </x:c>
      <x:c r="J205" s="235"/>
      <x:c r="K205" s="235"/>
      <x:c r="L205" s="235"/>
      <x:c r="M205" s="235"/>
      <x:c r="N205" s="315" t="str">
        <x:f>IF(OR(I205="",K205=""),"",100*I205*K205)</x:f>
      </x:c>
      <x:c r="O205" s="308" t="str">
        <x:f>IF(OR(I205="",M205=""),"",I205*M205)</x:f>
      </x:c>
      <x:c r="P205" s="235"/>
      <x:c r="Q205" s="235"/>
      <x:c r="R205" s="235"/>
      <x:c r="S205" s="308" t="str">
        <x:f>IF(OR(A205="",B205=""),"",SUMIFS($I$2:$I$301,$A$2:$A$301,A205,$B$2:$B$301,B205))</x:f>
      </x:c>
      <x:c r="T205" s="233" t="str">
        <x:f>IF(B205="","",IF(ABS(S205-1)&gt;0.000001,"ERROR_SHARE",IF(OR(Q205&lt;&gt;"VERIFIED",R205&lt;&gt;"VERIFIED"),"CHECK_MAPPING","OK")))</x:f>
      </x:c>
      <x:c r="U205" s="297"/>
    </x:row>
    <x:row r="206">
      <x:c r="A206" s="293"/>
      <x:c r="B206" s="235"/>
      <x:c r="C206" s="294"/>
      <x:c r="D206" s="294"/>
      <x:c r="E206" s="314"/>
      <x:c r="F206" s="307" t="str">
        <x:f>IF(OR(A206="",B206="",C206=""),"",SUMIFS('04_SAKERNAS_AGG'!$K$2:$K$301,'04_SAKERNAS_AGG'!$E$2:$E$301,A206,'04_SAKERNAS_AGG'!$F$2:$F$301,B206,'04_SAKERNAS_AGG'!$H$2:$H$301,C206))</x:f>
      </x:c>
      <x:c r="G206" s="307" t="str">
        <x:f>IF(OR(E206="",F206=""),"",E206*F206)</x:f>
      </x:c>
      <x:c r="H206" s="307" t="str">
        <x:f>IF(OR(A206="",B206="",G206=""),"",SUMIFS($G$2:$G$301,$A$2:$A$301,A206,$B$2:$B$301,B206))</x:f>
      </x:c>
      <x:c r="I206" s="308" t="str">
        <x:f>IFERROR(G206/H206,"")</x:f>
      </x:c>
      <x:c r="J206" s="235"/>
      <x:c r="K206" s="235"/>
      <x:c r="L206" s="235"/>
      <x:c r="M206" s="235"/>
      <x:c r="N206" s="315" t="str">
        <x:f>IF(OR(I206="",K206=""),"",100*I206*K206)</x:f>
      </x:c>
      <x:c r="O206" s="308" t="str">
        <x:f>IF(OR(I206="",M206=""),"",I206*M206)</x:f>
      </x:c>
      <x:c r="P206" s="235"/>
      <x:c r="Q206" s="235"/>
      <x:c r="R206" s="235"/>
      <x:c r="S206" s="308" t="str">
        <x:f>IF(OR(A206="",B206=""),"",SUMIFS($I$2:$I$301,$A$2:$A$301,A206,$B$2:$B$301,B206))</x:f>
      </x:c>
      <x:c r="T206" s="233" t="str">
        <x:f>IF(B206="","",IF(ABS(S206-1)&gt;0.000001,"ERROR_SHARE",IF(OR(Q206&lt;&gt;"VERIFIED",R206&lt;&gt;"VERIFIED"),"CHECK_MAPPING","OK")))</x:f>
      </x:c>
      <x:c r="U206" s="297"/>
    </x:row>
    <x:row r="207">
      <x:c r="A207" s="293"/>
      <x:c r="B207" s="235"/>
      <x:c r="C207" s="294"/>
      <x:c r="D207" s="294"/>
      <x:c r="E207" s="314"/>
      <x:c r="F207" s="307" t="str">
        <x:f>IF(OR(A207="",B207="",C207=""),"",SUMIFS('04_SAKERNAS_AGG'!$K$2:$K$301,'04_SAKERNAS_AGG'!$E$2:$E$301,A207,'04_SAKERNAS_AGG'!$F$2:$F$301,B207,'04_SAKERNAS_AGG'!$H$2:$H$301,C207))</x:f>
      </x:c>
      <x:c r="G207" s="307" t="str">
        <x:f>IF(OR(E207="",F207=""),"",E207*F207)</x:f>
      </x:c>
      <x:c r="H207" s="307" t="str">
        <x:f>IF(OR(A207="",B207="",G207=""),"",SUMIFS($G$2:$G$301,$A$2:$A$301,A207,$B$2:$B$301,B207))</x:f>
      </x:c>
      <x:c r="I207" s="308" t="str">
        <x:f>IFERROR(G207/H207,"")</x:f>
      </x:c>
      <x:c r="J207" s="235"/>
      <x:c r="K207" s="235"/>
      <x:c r="L207" s="235"/>
      <x:c r="M207" s="235"/>
      <x:c r="N207" s="315" t="str">
        <x:f>IF(OR(I207="",K207=""),"",100*I207*K207)</x:f>
      </x:c>
      <x:c r="O207" s="308" t="str">
        <x:f>IF(OR(I207="",M207=""),"",I207*M207)</x:f>
      </x:c>
      <x:c r="P207" s="235"/>
      <x:c r="Q207" s="235"/>
      <x:c r="R207" s="235"/>
      <x:c r="S207" s="308" t="str">
        <x:f>IF(OR(A207="",B207=""),"",SUMIFS($I$2:$I$301,$A$2:$A$301,A207,$B$2:$B$301,B207))</x:f>
      </x:c>
      <x:c r="T207" s="233" t="str">
        <x:f>IF(B207="","",IF(ABS(S207-1)&gt;0.000001,"ERROR_SHARE",IF(OR(Q207&lt;&gt;"VERIFIED",R207&lt;&gt;"VERIFIED"),"CHECK_MAPPING","OK")))</x:f>
      </x:c>
      <x:c r="U207" s="297"/>
    </x:row>
    <x:row r="208">
      <x:c r="A208" s="293"/>
      <x:c r="B208" s="235"/>
      <x:c r="C208" s="294"/>
      <x:c r="D208" s="294"/>
      <x:c r="E208" s="314"/>
      <x:c r="F208" s="307" t="str">
        <x:f>IF(OR(A208="",B208="",C208=""),"",SUMIFS('04_SAKERNAS_AGG'!$K$2:$K$301,'04_SAKERNAS_AGG'!$E$2:$E$301,A208,'04_SAKERNAS_AGG'!$F$2:$F$301,B208,'04_SAKERNAS_AGG'!$H$2:$H$301,C208))</x:f>
      </x:c>
      <x:c r="G208" s="307" t="str">
        <x:f>IF(OR(E208="",F208=""),"",E208*F208)</x:f>
      </x:c>
      <x:c r="H208" s="307" t="str">
        <x:f>IF(OR(A208="",B208="",G208=""),"",SUMIFS($G$2:$G$301,$A$2:$A$301,A208,$B$2:$B$301,B208))</x:f>
      </x:c>
      <x:c r="I208" s="308" t="str">
        <x:f>IFERROR(G208/H208,"")</x:f>
      </x:c>
      <x:c r="J208" s="235"/>
      <x:c r="K208" s="235"/>
      <x:c r="L208" s="235"/>
      <x:c r="M208" s="235"/>
      <x:c r="N208" s="315" t="str">
        <x:f>IF(OR(I208="",K208=""),"",100*I208*K208)</x:f>
      </x:c>
      <x:c r="O208" s="308" t="str">
        <x:f>IF(OR(I208="",M208=""),"",I208*M208)</x:f>
      </x:c>
      <x:c r="P208" s="235"/>
      <x:c r="Q208" s="235"/>
      <x:c r="R208" s="235"/>
      <x:c r="S208" s="308" t="str">
        <x:f>IF(OR(A208="",B208=""),"",SUMIFS($I$2:$I$301,$A$2:$A$301,A208,$B$2:$B$301,B208))</x:f>
      </x:c>
      <x:c r="T208" s="233" t="str">
        <x:f>IF(B208="","",IF(ABS(S208-1)&gt;0.000001,"ERROR_SHARE",IF(OR(Q208&lt;&gt;"VERIFIED",R208&lt;&gt;"VERIFIED"),"CHECK_MAPPING","OK")))</x:f>
      </x:c>
      <x:c r="U208" s="297"/>
    </x:row>
    <x:row r="209">
      <x:c r="A209" s="293"/>
      <x:c r="B209" s="235"/>
      <x:c r="C209" s="294"/>
      <x:c r="D209" s="294"/>
      <x:c r="E209" s="314"/>
      <x:c r="F209" s="307" t="str">
        <x:f>IF(OR(A209="",B209="",C209=""),"",SUMIFS('04_SAKERNAS_AGG'!$K$2:$K$301,'04_SAKERNAS_AGG'!$E$2:$E$301,A209,'04_SAKERNAS_AGG'!$F$2:$F$301,B209,'04_SAKERNAS_AGG'!$H$2:$H$301,C209))</x:f>
      </x:c>
      <x:c r="G209" s="307" t="str">
        <x:f>IF(OR(E209="",F209=""),"",E209*F209)</x:f>
      </x:c>
      <x:c r="H209" s="307" t="str">
        <x:f>IF(OR(A209="",B209="",G209=""),"",SUMIFS($G$2:$G$301,$A$2:$A$301,A209,$B$2:$B$301,B209))</x:f>
      </x:c>
      <x:c r="I209" s="308" t="str">
        <x:f>IFERROR(G209/H209,"")</x:f>
      </x:c>
      <x:c r="J209" s="235"/>
      <x:c r="K209" s="235"/>
      <x:c r="L209" s="235"/>
      <x:c r="M209" s="235"/>
      <x:c r="N209" s="315" t="str">
        <x:f>IF(OR(I209="",K209=""),"",100*I209*K209)</x:f>
      </x:c>
      <x:c r="O209" s="308" t="str">
        <x:f>IF(OR(I209="",M209=""),"",I209*M209)</x:f>
      </x:c>
      <x:c r="P209" s="235"/>
      <x:c r="Q209" s="235"/>
      <x:c r="R209" s="235"/>
      <x:c r="S209" s="308" t="str">
        <x:f>IF(OR(A209="",B209=""),"",SUMIFS($I$2:$I$301,$A$2:$A$301,A209,$B$2:$B$301,B209))</x:f>
      </x:c>
      <x:c r="T209" s="233" t="str">
        <x:f>IF(B209="","",IF(ABS(S209-1)&gt;0.000001,"ERROR_SHARE",IF(OR(Q209&lt;&gt;"VERIFIED",R209&lt;&gt;"VERIFIED"),"CHECK_MAPPING","OK")))</x:f>
      </x:c>
      <x:c r="U209" s="297"/>
    </x:row>
    <x:row r="210">
      <x:c r="A210" s="293"/>
      <x:c r="B210" s="235"/>
      <x:c r="C210" s="294"/>
      <x:c r="D210" s="294"/>
      <x:c r="E210" s="314"/>
      <x:c r="F210" s="307" t="str">
        <x:f>IF(OR(A210="",B210="",C210=""),"",SUMIFS('04_SAKERNAS_AGG'!$K$2:$K$301,'04_SAKERNAS_AGG'!$E$2:$E$301,A210,'04_SAKERNAS_AGG'!$F$2:$F$301,B210,'04_SAKERNAS_AGG'!$H$2:$H$301,C210))</x:f>
      </x:c>
      <x:c r="G210" s="307" t="str">
        <x:f>IF(OR(E210="",F210=""),"",E210*F210)</x:f>
      </x:c>
      <x:c r="H210" s="307" t="str">
        <x:f>IF(OR(A210="",B210="",G210=""),"",SUMIFS($G$2:$G$301,$A$2:$A$301,A210,$B$2:$B$301,B210))</x:f>
      </x:c>
      <x:c r="I210" s="308" t="str">
        <x:f>IFERROR(G210/H210,"")</x:f>
      </x:c>
      <x:c r="J210" s="235"/>
      <x:c r="K210" s="235"/>
      <x:c r="L210" s="235"/>
      <x:c r="M210" s="235"/>
      <x:c r="N210" s="315" t="str">
        <x:f>IF(OR(I210="",K210=""),"",100*I210*K210)</x:f>
      </x:c>
      <x:c r="O210" s="308" t="str">
        <x:f>IF(OR(I210="",M210=""),"",I210*M210)</x:f>
      </x:c>
      <x:c r="P210" s="235"/>
      <x:c r="Q210" s="235"/>
      <x:c r="R210" s="235"/>
      <x:c r="S210" s="308" t="str">
        <x:f>IF(OR(A210="",B210=""),"",SUMIFS($I$2:$I$301,$A$2:$A$301,A210,$B$2:$B$301,B210))</x:f>
      </x:c>
      <x:c r="T210" s="233" t="str">
        <x:f>IF(B210="","",IF(ABS(S210-1)&gt;0.000001,"ERROR_SHARE",IF(OR(Q210&lt;&gt;"VERIFIED",R210&lt;&gt;"VERIFIED"),"CHECK_MAPPING","OK")))</x:f>
      </x:c>
      <x:c r="U210" s="297"/>
    </x:row>
    <x:row r="211">
      <x:c r="A211" s="293"/>
      <x:c r="B211" s="235"/>
      <x:c r="C211" s="294"/>
      <x:c r="D211" s="294"/>
      <x:c r="E211" s="314"/>
      <x:c r="F211" s="307" t="str">
        <x:f>IF(OR(A211="",B211="",C211=""),"",SUMIFS('04_SAKERNAS_AGG'!$K$2:$K$301,'04_SAKERNAS_AGG'!$E$2:$E$301,A211,'04_SAKERNAS_AGG'!$F$2:$F$301,B211,'04_SAKERNAS_AGG'!$H$2:$H$301,C211))</x:f>
      </x:c>
      <x:c r="G211" s="307" t="str">
        <x:f>IF(OR(E211="",F211=""),"",E211*F211)</x:f>
      </x:c>
      <x:c r="H211" s="307" t="str">
        <x:f>IF(OR(A211="",B211="",G211=""),"",SUMIFS($G$2:$G$301,$A$2:$A$301,A211,$B$2:$B$301,B211))</x:f>
      </x:c>
      <x:c r="I211" s="308" t="str">
        <x:f>IFERROR(G211/H211,"")</x:f>
      </x:c>
      <x:c r="J211" s="235"/>
      <x:c r="K211" s="235"/>
      <x:c r="L211" s="235"/>
      <x:c r="M211" s="235"/>
      <x:c r="N211" s="315" t="str">
        <x:f>IF(OR(I211="",K211=""),"",100*I211*K211)</x:f>
      </x:c>
      <x:c r="O211" s="308" t="str">
        <x:f>IF(OR(I211="",M211=""),"",I211*M211)</x:f>
      </x:c>
      <x:c r="P211" s="235"/>
      <x:c r="Q211" s="235"/>
      <x:c r="R211" s="235"/>
      <x:c r="S211" s="308" t="str">
        <x:f>IF(OR(A211="",B211=""),"",SUMIFS($I$2:$I$301,$A$2:$A$301,A211,$B$2:$B$301,B211))</x:f>
      </x:c>
      <x:c r="T211" s="233" t="str">
        <x:f>IF(B211="","",IF(ABS(S211-1)&gt;0.000001,"ERROR_SHARE",IF(OR(Q211&lt;&gt;"VERIFIED",R211&lt;&gt;"VERIFIED"),"CHECK_MAPPING","OK")))</x:f>
      </x:c>
      <x:c r="U211" s="297"/>
    </x:row>
    <x:row r="212">
      <x:c r="A212" s="293"/>
      <x:c r="B212" s="235"/>
      <x:c r="C212" s="294"/>
      <x:c r="D212" s="294"/>
      <x:c r="E212" s="314"/>
      <x:c r="F212" s="307" t="str">
        <x:f>IF(OR(A212="",B212="",C212=""),"",SUMIFS('04_SAKERNAS_AGG'!$K$2:$K$301,'04_SAKERNAS_AGG'!$E$2:$E$301,A212,'04_SAKERNAS_AGG'!$F$2:$F$301,B212,'04_SAKERNAS_AGG'!$H$2:$H$301,C212))</x:f>
      </x:c>
      <x:c r="G212" s="307" t="str">
        <x:f>IF(OR(E212="",F212=""),"",E212*F212)</x:f>
      </x:c>
      <x:c r="H212" s="307" t="str">
        <x:f>IF(OR(A212="",B212="",G212=""),"",SUMIFS($G$2:$G$301,$A$2:$A$301,A212,$B$2:$B$301,B212))</x:f>
      </x:c>
      <x:c r="I212" s="308" t="str">
        <x:f>IFERROR(G212/H212,"")</x:f>
      </x:c>
      <x:c r="J212" s="235"/>
      <x:c r="K212" s="235"/>
      <x:c r="L212" s="235"/>
      <x:c r="M212" s="235"/>
      <x:c r="N212" s="315" t="str">
        <x:f>IF(OR(I212="",K212=""),"",100*I212*K212)</x:f>
      </x:c>
      <x:c r="O212" s="308" t="str">
        <x:f>IF(OR(I212="",M212=""),"",I212*M212)</x:f>
      </x:c>
      <x:c r="P212" s="235"/>
      <x:c r="Q212" s="235"/>
      <x:c r="R212" s="235"/>
      <x:c r="S212" s="308" t="str">
        <x:f>IF(OR(A212="",B212=""),"",SUMIFS($I$2:$I$301,$A$2:$A$301,A212,$B$2:$B$301,B212))</x:f>
      </x:c>
      <x:c r="T212" s="233" t="str">
        <x:f>IF(B212="","",IF(ABS(S212-1)&gt;0.000001,"ERROR_SHARE",IF(OR(Q212&lt;&gt;"VERIFIED",R212&lt;&gt;"VERIFIED"),"CHECK_MAPPING","OK")))</x:f>
      </x:c>
      <x:c r="U212" s="297"/>
    </x:row>
    <x:row r="213">
      <x:c r="A213" s="293"/>
      <x:c r="B213" s="235"/>
      <x:c r="C213" s="294"/>
      <x:c r="D213" s="294"/>
      <x:c r="E213" s="314"/>
      <x:c r="F213" s="307" t="str">
        <x:f>IF(OR(A213="",B213="",C213=""),"",SUMIFS('04_SAKERNAS_AGG'!$K$2:$K$301,'04_SAKERNAS_AGG'!$E$2:$E$301,A213,'04_SAKERNAS_AGG'!$F$2:$F$301,B213,'04_SAKERNAS_AGG'!$H$2:$H$301,C213))</x:f>
      </x:c>
      <x:c r="G213" s="307" t="str">
        <x:f>IF(OR(E213="",F213=""),"",E213*F213)</x:f>
      </x:c>
      <x:c r="H213" s="307" t="str">
        <x:f>IF(OR(A213="",B213="",G213=""),"",SUMIFS($G$2:$G$301,$A$2:$A$301,A213,$B$2:$B$301,B213))</x:f>
      </x:c>
      <x:c r="I213" s="308" t="str">
        <x:f>IFERROR(G213/H213,"")</x:f>
      </x:c>
      <x:c r="J213" s="235"/>
      <x:c r="K213" s="235"/>
      <x:c r="L213" s="235"/>
      <x:c r="M213" s="235"/>
      <x:c r="N213" s="315" t="str">
        <x:f>IF(OR(I213="",K213=""),"",100*I213*K213)</x:f>
      </x:c>
      <x:c r="O213" s="308" t="str">
        <x:f>IF(OR(I213="",M213=""),"",I213*M213)</x:f>
      </x:c>
      <x:c r="P213" s="235"/>
      <x:c r="Q213" s="235"/>
      <x:c r="R213" s="235"/>
      <x:c r="S213" s="308" t="str">
        <x:f>IF(OR(A213="",B213=""),"",SUMIFS($I$2:$I$301,$A$2:$A$301,A213,$B$2:$B$301,B213))</x:f>
      </x:c>
      <x:c r="T213" s="233" t="str">
        <x:f>IF(B213="","",IF(ABS(S213-1)&gt;0.000001,"ERROR_SHARE",IF(OR(Q213&lt;&gt;"VERIFIED",R213&lt;&gt;"VERIFIED"),"CHECK_MAPPING","OK")))</x:f>
      </x:c>
      <x:c r="U213" s="297"/>
    </x:row>
    <x:row r="214">
      <x:c r="A214" s="293"/>
      <x:c r="B214" s="235"/>
      <x:c r="C214" s="294"/>
      <x:c r="D214" s="294"/>
      <x:c r="E214" s="314"/>
      <x:c r="F214" s="307" t="str">
        <x:f>IF(OR(A214="",B214="",C214=""),"",SUMIFS('04_SAKERNAS_AGG'!$K$2:$K$301,'04_SAKERNAS_AGG'!$E$2:$E$301,A214,'04_SAKERNAS_AGG'!$F$2:$F$301,B214,'04_SAKERNAS_AGG'!$H$2:$H$301,C214))</x:f>
      </x:c>
      <x:c r="G214" s="307" t="str">
        <x:f>IF(OR(E214="",F214=""),"",E214*F214)</x:f>
      </x:c>
      <x:c r="H214" s="307" t="str">
        <x:f>IF(OR(A214="",B214="",G214=""),"",SUMIFS($G$2:$G$301,$A$2:$A$301,A214,$B$2:$B$301,B214))</x:f>
      </x:c>
      <x:c r="I214" s="308" t="str">
        <x:f>IFERROR(G214/H214,"")</x:f>
      </x:c>
      <x:c r="J214" s="235"/>
      <x:c r="K214" s="235"/>
      <x:c r="L214" s="235"/>
      <x:c r="M214" s="235"/>
      <x:c r="N214" s="315" t="str">
        <x:f>IF(OR(I214="",K214=""),"",100*I214*K214)</x:f>
      </x:c>
      <x:c r="O214" s="308" t="str">
        <x:f>IF(OR(I214="",M214=""),"",I214*M214)</x:f>
      </x:c>
      <x:c r="P214" s="235"/>
      <x:c r="Q214" s="235"/>
      <x:c r="R214" s="235"/>
      <x:c r="S214" s="308" t="str">
        <x:f>IF(OR(A214="",B214=""),"",SUMIFS($I$2:$I$301,$A$2:$A$301,A214,$B$2:$B$301,B214))</x:f>
      </x:c>
      <x:c r="T214" s="233" t="str">
        <x:f>IF(B214="","",IF(ABS(S214-1)&gt;0.000001,"ERROR_SHARE",IF(OR(Q214&lt;&gt;"VERIFIED",R214&lt;&gt;"VERIFIED"),"CHECK_MAPPING","OK")))</x:f>
      </x:c>
      <x:c r="U214" s="297"/>
    </x:row>
    <x:row r="215">
      <x:c r="A215" s="293"/>
      <x:c r="B215" s="235"/>
      <x:c r="C215" s="294"/>
      <x:c r="D215" s="294"/>
      <x:c r="E215" s="314"/>
      <x:c r="F215" s="307" t="str">
        <x:f>IF(OR(A215="",B215="",C215=""),"",SUMIFS('04_SAKERNAS_AGG'!$K$2:$K$301,'04_SAKERNAS_AGG'!$E$2:$E$301,A215,'04_SAKERNAS_AGG'!$F$2:$F$301,B215,'04_SAKERNAS_AGG'!$H$2:$H$301,C215))</x:f>
      </x:c>
      <x:c r="G215" s="307" t="str">
        <x:f>IF(OR(E215="",F215=""),"",E215*F215)</x:f>
      </x:c>
      <x:c r="H215" s="307" t="str">
        <x:f>IF(OR(A215="",B215="",G215=""),"",SUMIFS($G$2:$G$301,$A$2:$A$301,A215,$B$2:$B$301,B215))</x:f>
      </x:c>
      <x:c r="I215" s="308" t="str">
        <x:f>IFERROR(G215/H215,"")</x:f>
      </x:c>
      <x:c r="J215" s="235"/>
      <x:c r="K215" s="235"/>
      <x:c r="L215" s="235"/>
      <x:c r="M215" s="235"/>
      <x:c r="N215" s="315" t="str">
        <x:f>IF(OR(I215="",K215=""),"",100*I215*K215)</x:f>
      </x:c>
      <x:c r="O215" s="308" t="str">
        <x:f>IF(OR(I215="",M215=""),"",I215*M215)</x:f>
      </x:c>
      <x:c r="P215" s="235"/>
      <x:c r="Q215" s="235"/>
      <x:c r="R215" s="235"/>
      <x:c r="S215" s="308" t="str">
        <x:f>IF(OR(A215="",B215=""),"",SUMIFS($I$2:$I$301,$A$2:$A$301,A215,$B$2:$B$301,B215))</x:f>
      </x:c>
      <x:c r="T215" s="233" t="str">
        <x:f>IF(B215="","",IF(ABS(S215-1)&gt;0.000001,"ERROR_SHARE",IF(OR(Q215&lt;&gt;"VERIFIED",R215&lt;&gt;"VERIFIED"),"CHECK_MAPPING","OK")))</x:f>
      </x:c>
      <x:c r="U215" s="297"/>
    </x:row>
    <x:row r="216">
      <x:c r="A216" s="293"/>
      <x:c r="B216" s="235"/>
      <x:c r="C216" s="294"/>
      <x:c r="D216" s="294"/>
      <x:c r="E216" s="314"/>
      <x:c r="F216" s="307" t="str">
        <x:f>IF(OR(A216="",B216="",C216=""),"",SUMIFS('04_SAKERNAS_AGG'!$K$2:$K$301,'04_SAKERNAS_AGG'!$E$2:$E$301,A216,'04_SAKERNAS_AGG'!$F$2:$F$301,B216,'04_SAKERNAS_AGG'!$H$2:$H$301,C216))</x:f>
      </x:c>
      <x:c r="G216" s="307" t="str">
        <x:f>IF(OR(E216="",F216=""),"",E216*F216)</x:f>
      </x:c>
      <x:c r="H216" s="307" t="str">
        <x:f>IF(OR(A216="",B216="",G216=""),"",SUMIFS($G$2:$G$301,$A$2:$A$301,A216,$B$2:$B$301,B216))</x:f>
      </x:c>
      <x:c r="I216" s="308" t="str">
        <x:f>IFERROR(G216/H216,"")</x:f>
      </x:c>
      <x:c r="J216" s="235"/>
      <x:c r="K216" s="235"/>
      <x:c r="L216" s="235"/>
      <x:c r="M216" s="235"/>
      <x:c r="N216" s="315" t="str">
        <x:f>IF(OR(I216="",K216=""),"",100*I216*K216)</x:f>
      </x:c>
      <x:c r="O216" s="308" t="str">
        <x:f>IF(OR(I216="",M216=""),"",I216*M216)</x:f>
      </x:c>
      <x:c r="P216" s="235"/>
      <x:c r="Q216" s="235"/>
      <x:c r="R216" s="235"/>
      <x:c r="S216" s="308" t="str">
        <x:f>IF(OR(A216="",B216=""),"",SUMIFS($I$2:$I$301,$A$2:$A$301,A216,$B$2:$B$301,B216))</x:f>
      </x:c>
      <x:c r="T216" s="233" t="str">
        <x:f>IF(B216="","",IF(ABS(S216-1)&gt;0.000001,"ERROR_SHARE",IF(OR(Q216&lt;&gt;"VERIFIED",R216&lt;&gt;"VERIFIED"),"CHECK_MAPPING","OK")))</x:f>
      </x:c>
      <x:c r="U216" s="297"/>
    </x:row>
    <x:row r="217">
      <x:c r="A217" s="293"/>
      <x:c r="B217" s="235"/>
      <x:c r="C217" s="294"/>
      <x:c r="D217" s="294"/>
      <x:c r="E217" s="314"/>
      <x:c r="F217" s="307" t="str">
        <x:f>IF(OR(A217="",B217="",C217=""),"",SUMIFS('04_SAKERNAS_AGG'!$K$2:$K$301,'04_SAKERNAS_AGG'!$E$2:$E$301,A217,'04_SAKERNAS_AGG'!$F$2:$F$301,B217,'04_SAKERNAS_AGG'!$H$2:$H$301,C217))</x:f>
      </x:c>
      <x:c r="G217" s="307" t="str">
        <x:f>IF(OR(E217="",F217=""),"",E217*F217)</x:f>
      </x:c>
      <x:c r="H217" s="307" t="str">
        <x:f>IF(OR(A217="",B217="",G217=""),"",SUMIFS($G$2:$G$301,$A$2:$A$301,A217,$B$2:$B$301,B217))</x:f>
      </x:c>
      <x:c r="I217" s="308" t="str">
        <x:f>IFERROR(G217/H217,"")</x:f>
      </x:c>
      <x:c r="J217" s="235"/>
      <x:c r="K217" s="235"/>
      <x:c r="L217" s="235"/>
      <x:c r="M217" s="235"/>
      <x:c r="N217" s="315" t="str">
        <x:f>IF(OR(I217="",K217=""),"",100*I217*K217)</x:f>
      </x:c>
      <x:c r="O217" s="308" t="str">
        <x:f>IF(OR(I217="",M217=""),"",I217*M217)</x:f>
      </x:c>
      <x:c r="P217" s="235"/>
      <x:c r="Q217" s="235"/>
      <x:c r="R217" s="235"/>
      <x:c r="S217" s="308" t="str">
        <x:f>IF(OR(A217="",B217=""),"",SUMIFS($I$2:$I$301,$A$2:$A$301,A217,$B$2:$B$301,B217))</x:f>
      </x:c>
      <x:c r="T217" s="233" t="str">
        <x:f>IF(B217="","",IF(ABS(S217-1)&gt;0.000001,"ERROR_SHARE",IF(OR(Q217&lt;&gt;"VERIFIED",R217&lt;&gt;"VERIFIED"),"CHECK_MAPPING","OK")))</x:f>
      </x:c>
      <x:c r="U217" s="297"/>
    </x:row>
    <x:row r="218">
      <x:c r="A218" s="293"/>
      <x:c r="B218" s="235"/>
      <x:c r="C218" s="294"/>
      <x:c r="D218" s="294"/>
      <x:c r="E218" s="314"/>
      <x:c r="F218" s="307" t="str">
        <x:f>IF(OR(A218="",B218="",C218=""),"",SUMIFS('04_SAKERNAS_AGG'!$K$2:$K$301,'04_SAKERNAS_AGG'!$E$2:$E$301,A218,'04_SAKERNAS_AGG'!$F$2:$F$301,B218,'04_SAKERNAS_AGG'!$H$2:$H$301,C218))</x:f>
      </x:c>
      <x:c r="G218" s="307" t="str">
        <x:f>IF(OR(E218="",F218=""),"",E218*F218)</x:f>
      </x:c>
      <x:c r="H218" s="307" t="str">
        <x:f>IF(OR(A218="",B218="",G218=""),"",SUMIFS($G$2:$G$301,$A$2:$A$301,A218,$B$2:$B$301,B218))</x:f>
      </x:c>
      <x:c r="I218" s="308" t="str">
        <x:f>IFERROR(G218/H218,"")</x:f>
      </x:c>
      <x:c r="J218" s="235"/>
      <x:c r="K218" s="235"/>
      <x:c r="L218" s="235"/>
      <x:c r="M218" s="235"/>
      <x:c r="N218" s="315" t="str">
        <x:f>IF(OR(I218="",K218=""),"",100*I218*K218)</x:f>
      </x:c>
      <x:c r="O218" s="308" t="str">
        <x:f>IF(OR(I218="",M218=""),"",I218*M218)</x:f>
      </x:c>
      <x:c r="P218" s="235"/>
      <x:c r="Q218" s="235"/>
      <x:c r="R218" s="235"/>
      <x:c r="S218" s="308" t="str">
        <x:f>IF(OR(A218="",B218=""),"",SUMIFS($I$2:$I$301,$A$2:$A$301,A218,$B$2:$B$301,B218))</x:f>
      </x:c>
      <x:c r="T218" s="233" t="str">
        <x:f>IF(B218="","",IF(ABS(S218-1)&gt;0.000001,"ERROR_SHARE",IF(OR(Q218&lt;&gt;"VERIFIED",R218&lt;&gt;"VERIFIED"),"CHECK_MAPPING","OK")))</x:f>
      </x:c>
      <x:c r="U218" s="297"/>
    </x:row>
    <x:row r="219">
      <x:c r="A219" s="293"/>
      <x:c r="B219" s="235"/>
      <x:c r="C219" s="294"/>
      <x:c r="D219" s="294"/>
      <x:c r="E219" s="314"/>
      <x:c r="F219" s="307" t="str">
        <x:f>IF(OR(A219="",B219="",C219=""),"",SUMIFS('04_SAKERNAS_AGG'!$K$2:$K$301,'04_SAKERNAS_AGG'!$E$2:$E$301,A219,'04_SAKERNAS_AGG'!$F$2:$F$301,B219,'04_SAKERNAS_AGG'!$H$2:$H$301,C219))</x:f>
      </x:c>
      <x:c r="G219" s="307" t="str">
        <x:f>IF(OR(E219="",F219=""),"",E219*F219)</x:f>
      </x:c>
      <x:c r="H219" s="307" t="str">
        <x:f>IF(OR(A219="",B219="",G219=""),"",SUMIFS($G$2:$G$301,$A$2:$A$301,A219,$B$2:$B$301,B219))</x:f>
      </x:c>
      <x:c r="I219" s="308" t="str">
        <x:f>IFERROR(G219/H219,"")</x:f>
      </x:c>
      <x:c r="J219" s="235"/>
      <x:c r="K219" s="235"/>
      <x:c r="L219" s="235"/>
      <x:c r="M219" s="235"/>
      <x:c r="N219" s="315" t="str">
        <x:f>IF(OR(I219="",K219=""),"",100*I219*K219)</x:f>
      </x:c>
      <x:c r="O219" s="308" t="str">
        <x:f>IF(OR(I219="",M219=""),"",I219*M219)</x:f>
      </x:c>
      <x:c r="P219" s="235"/>
      <x:c r="Q219" s="235"/>
      <x:c r="R219" s="235"/>
      <x:c r="S219" s="308" t="str">
        <x:f>IF(OR(A219="",B219=""),"",SUMIFS($I$2:$I$301,$A$2:$A$301,A219,$B$2:$B$301,B219))</x:f>
      </x:c>
      <x:c r="T219" s="233" t="str">
        <x:f>IF(B219="","",IF(ABS(S219-1)&gt;0.000001,"ERROR_SHARE",IF(OR(Q219&lt;&gt;"VERIFIED",R219&lt;&gt;"VERIFIED"),"CHECK_MAPPING","OK")))</x:f>
      </x:c>
      <x:c r="U219" s="297"/>
    </x:row>
    <x:row r="220">
      <x:c r="A220" s="293"/>
      <x:c r="B220" s="235"/>
      <x:c r="C220" s="294"/>
      <x:c r="D220" s="294"/>
      <x:c r="E220" s="314"/>
      <x:c r="F220" s="307" t="str">
        <x:f>IF(OR(A220="",B220="",C220=""),"",SUMIFS('04_SAKERNAS_AGG'!$K$2:$K$301,'04_SAKERNAS_AGG'!$E$2:$E$301,A220,'04_SAKERNAS_AGG'!$F$2:$F$301,B220,'04_SAKERNAS_AGG'!$H$2:$H$301,C220))</x:f>
      </x:c>
      <x:c r="G220" s="307" t="str">
        <x:f>IF(OR(E220="",F220=""),"",E220*F220)</x:f>
      </x:c>
      <x:c r="H220" s="307" t="str">
        <x:f>IF(OR(A220="",B220="",G220=""),"",SUMIFS($G$2:$G$301,$A$2:$A$301,A220,$B$2:$B$301,B220))</x:f>
      </x:c>
      <x:c r="I220" s="308" t="str">
        <x:f>IFERROR(G220/H220,"")</x:f>
      </x:c>
      <x:c r="J220" s="235"/>
      <x:c r="K220" s="235"/>
      <x:c r="L220" s="235"/>
      <x:c r="M220" s="235"/>
      <x:c r="N220" s="315" t="str">
        <x:f>IF(OR(I220="",K220=""),"",100*I220*K220)</x:f>
      </x:c>
      <x:c r="O220" s="308" t="str">
        <x:f>IF(OR(I220="",M220=""),"",I220*M220)</x:f>
      </x:c>
      <x:c r="P220" s="235"/>
      <x:c r="Q220" s="235"/>
      <x:c r="R220" s="235"/>
      <x:c r="S220" s="308" t="str">
        <x:f>IF(OR(A220="",B220=""),"",SUMIFS($I$2:$I$301,$A$2:$A$301,A220,$B$2:$B$301,B220))</x:f>
      </x:c>
      <x:c r="T220" s="233" t="str">
        <x:f>IF(B220="","",IF(ABS(S220-1)&gt;0.000001,"ERROR_SHARE",IF(OR(Q220&lt;&gt;"VERIFIED",R220&lt;&gt;"VERIFIED"),"CHECK_MAPPING","OK")))</x:f>
      </x:c>
      <x:c r="U220" s="297"/>
    </x:row>
    <x:row r="221">
      <x:c r="A221" s="293"/>
      <x:c r="B221" s="235"/>
      <x:c r="C221" s="294"/>
      <x:c r="D221" s="294"/>
      <x:c r="E221" s="314"/>
      <x:c r="F221" s="307" t="str">
        <x:f>IF(OR(A221="",B221="",C221=""),"",SUMIFS('04_SAKERNAS_AGG'!$K$2:$K$301,'04_SAKERNAS_AGG'!$E$2:$E$301,A221,'04_SAKERNAS_AGG'!$F$2:$F$301,B221,'04_SAKERNAS_AGG'!$H$2:$H$301,C221))</x:f>
      </x:c>
      <x:c r="G221" s="307" t="str">
        <x:f>IF(OR(E221="",F221=""),"",E221*F221)</x:f>
      </x:c>
      <x:c r="H221" s="307" t="str">
        <x:f>IF(OR(A221="",B221="",G221=""),"",SUMIFS($G$2:$G$301,$A$2:$A$301,A221,$B$2:$B$301,B221))</x:f>
      </x:c>
      <x:c r="I221" s="308" t="str">
        <x:f>IFERROR(G221/H221,"")</x:f>
      </x:c>
      <x:c r="J221" s="235"/>
      <x:c r="K221" s="235"/>
      <x:c r="L221" s="235"/>
      <x:c r="M221" s="235"/>
      <x:c r="N221" s="315" t="str">
        <x:f>IF(OR(I221="",K221=""),"",100*I221*K221)</x:f>
      </x:c>
      <x:c r="O221" s="308" t="str">
        <x:f>IF(OR(I221="",M221=""),"",I221*M221)</x:f>
      </x:c>
      <x:c r="P221" s="235"/>
      <x:c r="Q221" s="235"/>
      <x:c r="R221" s="235"/>
      <x:c r="S221" s="308" t="str">
        <x:f>IF(OR(A221="",B221=""),"",SUMIFS($I$2:$I$301,$A$2:$A$301,A221,$B$2:$B$301,B221))</x:f>
      </x:c>
      <x:c r="T221" s="233" t="str">
        <x:f>IF(B221="","",IF(ABS(S221-1)&gt;0.000001,"ERROR_SHARE",IF(OR(Q221&lt;&gt;"VERIFIED",R221&lt;&gt;"VERIFIED"),"CHECK_MAPPING","OK")))</x:f>
      </x:c>
      <x:c r="U221" s="297"/>
    </x:row>
    <x:row r="222">
      <x:c r="A222" s="293"/>
      <x:c r="B222" s="235"/>
      <x:c r="C222" s="294"/>
      <x:c r="D222" s="294"/>
      <x:c r="E222" s="314"/>
      <x:c r="F222" s="307" t="str">
        <x:f>IF(OR(A222="",B222="",C222=""),"",SUMIFS('04_SAKERNAS_AGG'!$K$2:$K$301,'04_SAKERNAS_AGG'!$E$2:$E$301,A222,'04_SAKERNAS_AGG'!$F$2:$F$301,B222,'04_SAKERNAS_AGG'!$H$2:$H$301,C222))</x:f>
      </x:c>
      <x:c r="G222" s="307" t="str">
        <x:f>IF(OR(E222="",F222=""),"",E222*F222)</x:f>
      </x:c>
      <x:c r="H222" s="307" t="str">
        <x:f>IF(OR(A222="",B222="",G222=""),"",SUMIFS($G$2:$G$301,$A$2:$A$301,A222,$B$2:$B$301,B222))</x:f>
      </x:c>
      <x:c r="I222" s="308" t="str">
        <x:f>IFERROR(G222/H222,"")</x:f>
      </x:c>
      <x:c r="J222" s="235"/>
      <x:c r="K222" s="235"/>
      <x:c r="L222" s="235"/>
      <x:c r="M222" s="235"/>
      <x:c r="N222" s="315" t="str">
        <x:f>IF(OR(I222="",K222=""),"",100*I222*K222)</x:f>
      </x:c>
      <x:c r="O222" s="308" t="str">
        <x:f>IF(OR(I222="",M222=""),"",I222*M222)</x:f>
      </x:c>
      <x:c r="P222" s="235"/>
      <x:c r="Q222" s="235"/>
      <x:c r="R222" s="235"/>
      <x:c r="S222" s="308" t="str">
        <x:f>IF(OR(A222="",B222=""),"",SUMIFS($I$2:$I$301,$A$2:$A$301,A222,$B$2:$B$301,B222))</x:f>
      </x:c>
      <x:c r="T222" s="233" t="str">
        <x:f>IF(B222="","",IF(ABS(S222-1)&gt;0.000001,"ERROR_SHARE",IF(OR(Q222&lt;&gt;"VERIFIED",R222&lt;&gt;"VERIFIED"),"CHECK_MAPPING","OK")))</x:f>
      </x:c>
      <x:c r="U222" s="297"/>
    </x:row>
    <x:row r="223">
      <x:c r="A223" s="293"/>
      <x:c r="B223" s="235"/>
      <x:c r="C223" s="294"/>
      <x:c r="D223" s="294"/>
      <x:c r="E223" s="314"/>
      <x:c r="F223" s="307" t="str">
        <x:f>IF(OR(A223="",B223="",C223=""),"",SUMIFS('04_SAKERNAS_AGG'!$K$2:$K$301,'04_SAKERNAS_AGG'!$E$2:$E$301,A223,'04_SAKERNAS_AGG'!$F$2:$F$301,B223,'04_SAKERNAS_AGG'!$H$2:$H$301,C223))</x:f>
      </x:c>
      <x:c r="G223" s="307" t="str">
        <x:f>IF(OR(E223="",F223=""),"",E223*F223)</x:f>
      </x:c>
      <x:c r="H223" s="307" t="str">
        <x:f>IF(OR(A223="",B223="",G223=""),"",SUMIFS($G$2:$G$301,$A$2:$A$301,A223,$B$2:$B$301,B223))</x:f>
      </x:c>
      <x:c r="I223" s="308" t="str">
        <x:f>IFERROR(G223/H223,"")</x:f>
      </x:c>
      <x:c r="J223" s="235"/>
      <x:c r="K223" s="235"/>
      <x:c r="L223" s="235"/>
      <x:c r="M223" s="235"/>
      <x:c r="N223" s="315" t="str">
        <x:f>IF(OR(I223="",K223=""),"",100*I223*K223)</x:f>
      </x:c>
      <x:c r="O223" s="308" t="str">
        <x:f>IF(OR(I223="",M223=""),"",I223*M223)</x:f>
      </x:c>
      <x:c r="P223" s="235"/>
      <x:c r="Q223" s="235"/>
      <x:c r="R223" s="235"/>
      <x:c r="S223" s="308" t="str">
        <x:f>IF(OR(A223="",B223=""),"",SUMIFS($I$2:$I$301,$A$2:$A$301,A223,$B$2:$B$301,B223))</x:f>
      </x:c>
      <x:c r="T223" s="233" t="str">
        <x:f>IF(B223="","",IF(ABS(S223-1)&gt;0.000001,"ERROR_SHARE",IF(OR(Q223&lt;&gt;"VERIFIED",R223&lt;&gt;"VERIFIED"),"CHECK_MAPPING","OK")))</x:f>
      </x:c>
      <x:c r="U223" s="297"/>
    </x:row>
    <x:row r="224">
      <x:c r="A224" s="293"/>
      <x:c r="B224" s="235"/>
      <x:c r="C224" s="294"/>
      <x:c r="D224" s="294"/>
      <x:c r="E224" s="314"/>
      <x:c r="F224" s="307" t="str">
        <x:f>IF(OR(A224="",B224="",C224=""),"",SUMIFS('04_SAKERNAS_AGG'!$K$2:$K$301,'04_SAKERNAS_AGG'!$E$2:$E$301,A224,'04_SAKERNAS_AGG'!$F$2:$F$301,B224,'04_SAKERNAS_AGG'!$H$2:$H$301,C224))</x:f>
      </x:c>
      <x:c r="G224" s="307" t="str">
        <x:f>IF(OR(E224="",F224=""),"",E224*F224)</x:f>
      </x:c>
      <x:c r="H224" s="307" t="str">
        <x:f>IF(OR(A224="",B224="",G224=""),"",SUMIFS($G$2:$G$301,$A$2:$A$301,A224,$B$2:$B$301,B224))</x:f>
      </x:c>
      <x:c r="I224" s="308" t="str">
        <x:f>IFERROR(G224/H224,"")</x:f>
      </x:c>
      <x:c r="J224" s="235"/>
      <x:c r="K224" s="235"/>
      <x:c r="L224" s="235"/>
      <x:c r="M224" s="235"/>
      <x:c r="N224" s="315" t="str">
        <x:f>IF(OR(I224="",K224=""),"",100*I224*K224)</x:f>
      </x:c>
      <x:c r="O224" s="308" t="str">
        <x:f>IF(OR(I224="",M224=""),"",I224*M224)</x:f>
      </x:c>
      <x:c r="P224" s="235"/>
      <x:c r="Q224" s="235"/>
      <x:c r="R224" s="235"/>
      <x:c r="S224" s="308" t="str">
        <x:f>IF(OR(A224="",B224=""),"",SUMIFS($I$2:$I$301,$A$2:$A$301,A224,$B$2:$B$301,B224))</x:f>
      </x:c>
      <x:c r="T224" s="233" t="str">
        <x:f>IF(B224="","",IF(ABS(S224-1)&gt;0.000001,"ERROR_SHARE",IF(OR(Q224&lt;&gt;"VERIFIED",R224&lt;&gt;"VERIFIED"),"CHECK_MAPPING","OK")))</x:f>
      </x:c>
      <x:c r="U224" s="297"/>
    </x:row>
    <x:row r="225">
      <x:c r="A225" s="293"/>
      <x:c r="B225" s="235"/>
      <x:c r="C225" s="294"/>
      <x:c r="D225" s="294"/>
      <x:c r="E225" s="314"/>
      <x:c r="F225" s="307" t="str">
        <x:f>IF(OR(A225="",B225="",C225=""),"",SUMIFS('04_SAKERNAS_AGG'!$K$2:$K$301,'04_SAKERNAS_AGG'!$E$2:$E$301,A225,'04_SAKERNAS_AGG'!$F$2:$F$301,B225,'04_SAKERNAS_AGG'!$H$2:$H$301,C225))</x:f>
      </x:c>
      <x:c r="G225" s="307" t="str">
        <x:f>IF(OR(E225="",F225=""),"",E225*F225)</x:f>
      </x:c>
      <x:c r="H225" s="307" t="str">
        <x:f>IF(OR(A225="",B225="",G225=""),"",SUMIFS($G$2:$G$301,$A$2:$A$301,A225,$B$2:$B$301,B225))</x:f>
      </x:c>
      <x:c r="I225" s="308" t="str">
        <x:f>IFERROR(G225/H225,"")</x:f>
      </x:c>
      <x:c r="J225" s="235"/>
      <x:c r="K225" s="235"/>
      <x:c r="L225" s="235"/>
      <x:c r="M225" s="235"/>
      <x:c r="N225" s="315" t="str">
        <x:f>IF(OR(I225="",K225=""),"",100*I225*K225)</x:f>
      </x:c>
      <x:c r="O225" s="308" t="str">
        <x:f>IF(OR(I225="",M225=""),"",I225*M225)</x:f>
      </x:c>
      <x:c r="P225" s="235"/>
      <x:c r="Q225" s="235"/>
      <x:c r="R225" s="235"/>
      <x:c r="S225" s="308" t="str">
        <x:f>IF(OR(A225="",B225=""),"",SUMIFS($I$2:$I$301,$A$2:$A$301,A225,$B$2:$B$301,B225))</x:f>
      </x:c>
      <x:c r="T225" s="233" t="str">
        <x:f>IF(B225="","",IF(ABS(S225-1)&gt;0.000001,"ERROR_SHARE",IF(OR(Q225&lt;&gt;"VERIFIED",R225&lt;&gt;"VERIFIED"),"CHECK_MAPPING","OK")))</x:f>
      </x:c>
      <x:c r="U225" s="297"/>
    </x:row>
    <x:row r="226">
      <x:c r="A226" s="293"/>
      <x:c r="B226" s="235"/>
      <x:c r="C226" s="294"/>
      <x:c r="D226" s="294"/>
      <x:c r="E226" s="314"/>
      <x:c r="F226" s="307" t="str">
        <x:f>IF(OR(A226="",B226="",C226=""),"",SUMIFS('04_SAKERNAS_AGG'!$K$2:$K$301,'04_SAKERNAS_AGG'!$E$2:$E$301,A226,'04_SAKERNAS_AGG'!$F$2:$F$301,B226,'04_SAKERNAS_AGG'!$H$2:$H$301,C226))</x:f>
      </x:c>
      <x:c r="G226" s="307" t="str">
        <x:f>IF(OR(E226="",F226=""),"",E226*F226)</x:f>
      </x:c>
      <x:c r="H226" s="307" t="str">
        <x:f>IF(OR(A226="",B226="",G226=""),"",SUMIFS($G$2:$G$301,$A$2:$A$301,A226,$B$2:$B$301,B226))</x:f>
      </x:c>
      <x:c r="I226" s="308" t="str">
        <x:f>IFERROR(G226/H226,"")</x:f>
      </x:c>
      <x:c r="J226" s="235"/>
      <x:c r="K226" s="235"/>
      <x:c r="L226" s="235"/>
      <x:c r="M226" s="235"/>
      <x:c r="N226" s="315" t="str">
        <x:f>IF(OR(I226="",K226=""),"",100*I226*K226)</x:f>
      </x:c>
      <x:c r="O226" s="308" t="str">
        <x:f>IF(OR(I226="",M226=""),"",I226*M226)</x:f>
      </x:c>
      <x:c r="P226" s="235"/>
      <x:c r="Q226" s="235"/>
      <x:c r="R226" s="235"/>
      <x:c r="S226" s="308" t="str">
        <x:f>IF(OR(A226="",B226=""),"",SUMIFS($I$2:$I$301,$A$2:$A$301,A226,$B$2:$B$301,B226))</x:f>
      </x:c>
      <x:c r="T226" s="233" t="str">
        <x:f>IF(B226="","",IF(ABS(S226-1)&gt;0.000001,"ERROR_SHARE",IF(OR(Q226&lt;&gt;"VERIFIED",R226&lt;&gt;"VERIFIED"),"CHECK_MAPPING","OK")))</x:f>
      </x:c>
      <x:c r="U226" s="297"/>
    </x:row>
    <x:row r="227">
      <x:c r="A227" s="293"/>
      <x:c r="B227" s="235"/>
      <x:c r="C227" s="294"/>
      <x:c r="D227" s="294"/>
      <x:c r="E227" s="314"/>
      <x:c r="F227" s="307" t="str">
        <x:f>IF(OR(A227="",B227="",C227=""),"",SUMIFS('04_SAKERNAS_AGG'!$K$2:$K$301,'04_SAKERNAS_AGG'!$E$2:$E$301,A227,'04_SAKERNAS_AGG'!$F$2:$F$301,B227,'04_SAKERNAS_AGG'!$H$2:$H$301,C227))</x:f>
      </x:c>
      <x:c r="G227" s="307" t="str">
        <x:f>IF(OR(E227="",F227=""),"",E227*F227)</x:f>
      </x:c>
      <x:c r="H227" s="307" t="str">
        <x:f>IF(OR(A227="",B227="",G227=""),"",SUMIFS($G$2:$G$301,$A$2:$A$301,A227,$B$2:$B$301,B227))</x:f>
      </x:c>
      <x:c r="I227" s="308" t="str">
        <x:f>IFERROR(G227/H227,"")</x:f>
      </x:c>
      <x:c r="J227" s="235"/>
      <x:c r="K227" s="235"/>
      <x:c r="L227" s="235"/>
      <x:c r="M227" s="235"/>
      <x:c r="N227" s="315" t="str">
        <x:f>IF(OR(I227="",K227=""),"",100*I227*K227)</x:f>
      </x:c>
      <x:c r="O227" s="308" t="str">
        <x:f>IF(OR(I227="",M227=""),"",I227*M227)</x:f>
      </x:c>
      <x:c r="P227" s="235"/>
      <x:c r="Q227" s="235"/>
      <x:c r="R227" s="235"/>
      <x:c r="S227" s="308" t="str">
        <x:f>IF(OR(A227="",B227=""),"",SUMIFS($I$2:$I$301,$A$2:$A$301,A227,$B$2:$B$301,B227))</x:f>
      </x:c>
      <x:c r="T227" s="233" t="str">
        <x:f>IF(B227="","",IF(ABS(S227-1)&gt;0.000001,"ERROR_SHARE",IF(OR(Q227&lt;&gt;"VERIFIED",R227&lt;&gt;"VERIFIED"),"CHECK_MAPPING","OK")))</x:f>
      </x:c>
      <x:c r="U227" s="297"/>
    </x:row>
    <x:row r="228">
      <x:c r="A228" s="293"/>
      <x:c r="B228" s="235"/>
      <x:c r="C228" s="294"/>
      <x:c r="D228" s="294"/>
      <x:c r="E228" s="314"/>
      <x:c r="F228" s="307" t="str">
        <x:f>IF(OR(A228="",B228="",C228=""),"",SUMIFS('04_SAKERNAS_AGG'!$K$2:$K$301,'04_SAKERNAS_AGG'!$E$2:$E$301,A228,'04_SAKERNAS_AGG'!$F$2:$F$301,B228,'04_SAKERNAS_AGG'!$H$2:$H$301,C228))</x:f>
      </x:c>
      <x:c r="G228" s="307" t="str">
        <x:f>IF(OR(E228="",F228=""),"",E228*F228)</x:f>
      </x:c>
      <x:c r="H228" s="307" t="str">
        <x:f>IF(OR(A228="",B228="",G228=""),"",SUMIFS($G$2:$G$301,$A$2:$A$301,A228,$B$2:$B$301,B228))</x:f>
      </x:c>
      <x:c r="I228" s="308" t="str">
        <x:f>IFERROR(G228/H228,"")</x:f>
      </x:c>
      <x:c r="J228" s="235"/>
      <x:c r="K228" s="235"/>
      <x:c r="L228" s="235"/>
      <x:c r="M228" s="235"/>
      <x:c r="N228" s="315" t="str">
        <x:f>IF(OR(I228="",K228=""),"",100*I228*K228)</x:f>
      </x:c>
      <x:c r="O228" s="308" t="str">
        <x:f>IF(OR(I228="",M228=""),"",I228*M228)</x:f>
      </x:c>
      <x:c r="P228" s="235"/>
      <x:c r="Q228" s="235"/>
      <x:c r="R228" s="235"/>
      <x:c r="S228" s="308" t="str">
        <x:f>IF(OR(A228="",B228=""),"",SUMIFS($I$2:$I$301,$A$2:$A$301,A228,$B$2:$B$301,B228))</x:f>
      </x:c>
      <x:c r="T228" s="233" t="str">
        <x:f>IF(B228="","",IF(ABS(S228-1)&gt;0.000001,"ERROR_SHARE",IF(OR(Q228&lt;&gt;"VERIFIED",R228&lt;&gt;"VERIFIED"),"CHECK_MAPPING","OK")))</x:f>
      </x:c>
      <x:c r="U228" s="297"/>
    </x:row>
    <x:row r="229">
      <x:c r="A229" s="293"/>
      <x:c r="B229" s="235"/>
      <x:c r="C229" s="294"/>
      <x:c r="D229" s="294"/>
      <x:c r="E229" s="314"/>
      <x:c r="F229" s="307" t="str">
        <x:f>IF(OR(A229="",B229="",C229=""),"",SUMIFS('04_SAKERNAS_AGG'!$K$2:$K$301,'04_SAKERNAS_AGG'!$E$2:$E$301,A229,'04_SAKERNAS_AGG'!$F$2:$F$301,B229,'04_SAKERNAS_AGG'!$H$2:$H$301,C229))</x:f>
      </x:c>
      <x:c r="G229" s="307" t="str">
        <x:f>IF(OR(E229="",F229=""),"",E229*F229)</x:f>
      </x:c>
      <x:c r="H229" s="307" t="str">
        <x:f>IF(OR(A229="",B229="",G229=""),"",SUMIFS($G$2:$G$301,$A$2:$A$301,A229,$B$2:$B$301,B229))</x:f>
      </x:c>
      <x:c r="I229" s="308" t="str">
        <x:f>IFERROR(G229/H229,"")</x:f>
      </x:c>
      <x:c r="J229" s="235"/>
      <x:c r="K229" s="235"/>
      <x:c r="L229" s="235"/>
      <x:c r="M229" s="235"/>
      <x:c r="N229" s="315" t="str">
        <x:f>IF(OR(I229="",K229=""),"",100*I229*K229)</x:f>
      </x:c>
      <x:c r="O229" s="308" t="str">
        <x:f>IF(OR(I229="",M229=""),"",I229*M229)</x:f>
      </x:c>
      <x:c r="P229" s="235"/>
      <x:c r="Q229" s="235"/>
      <x:c r="R229" s="235"/>
      <x:c r="S229" s="308" t="str">
        <x:f>IF(OR(A229="",B229=""),"",SUMIFS($I$2:$I$301,$A$2:$A$301,A229,$B$2:$B$301,B229))</x:f>
      </x:c>
      <x:c r="T229" s="233" t="str">
        <x:f>IF(B229="","",IF(ABS(S229-1)&gt;0.000001,"ERROR_SHARE",IF(OR(Q229&lt;&gt;"VERIFIED",R229&lt;&gt;"VERIFIED"),"CHECK_MAPPING","OK")))</x:f>
      </x:c>
      <x:c r="U229" s="297"/>
    </x:row>
    <x:row r="230">
      <x:c r="A230" s="293"/>
      <x:c r="B230" s="235"/>
      <x:c r="C230" s="294"/>
      <x:c r="D230" s="294"/>
      <x:c r="E230" s="314"/>
      <x:c r="F230" s="307" t="str">
        <x:f>IF(OR(A230="",B230="",C230=""),"",SUMIFS('04_SAKERNAS_AGG'!$K$2:$K$301,'04_SAKERNAS_AGG'!$E$2:$E$301,A230,'04_SAKERNAS_AGG'!$F$2:$F$301,B230,'04_SAKERNAS_AGG'!$H$2:$H$301,C230))</x:f>
      </x:c>
      <x:c r="G230" s="307" t="str">
        <x:f>IF(OR(E230="",F230=""),"",E230*F230)</x:f>
      </x:c>
      <x:c r="H230" s="307" t="str">
        <x:f>IF(OR(A230="",B230="",G230=""),"",SUMIFS($G$2:$G$301,$A$2:$A$301,A230,$B$2:$B$301,B230))</x:f>
      </x:c>
      <x:c r="I230" s="308" t="str">
        <x:f>IFERROR(G230/H230,"")</x:f>
      </x:c>
      <x:c r="J230" s="235"/>
      <x:c r="K230" s="235"/>
      <x:c r="L230" s="235"/>
      <x:c r="M230" s="235"/>
      <x:c r="N230" s="315" t="str">
        <x:f>IF(OR(I230="",K230=""),"",100*I230*K230)</x:f>
      </x:c>
      <x:c r="O230" s="308" t="str">
        <x:f>IF(OR(I230="",M230=""),"",I230*M230)</x:f>
      </x:c>
      <x:c r="P230" s="235"/>
      <x:c r="Q230" s="235"/>
      <x:c r="R230" s="235"/>
      <x:c r="S230" s="308" t="str">
        <x:f>IF(OR(A230="",B230=""),"",SUMIFS($I$2:$I$301,$A$2:$A$301,A230,$B$2:$B$301,B230))</x:f>
      </x:c>
      <x:c r="T230" s="233" t="str">
        <x:f>IF(B230="","",IF(ABS(S230-1)&gt;0.000001,"ERROR_SHARE",IF(OR(Q230&lt;&gt;"VERIFIED",R230&lt;&gt;"VERIFIED"),"CHECK_MAPPING","OK")))</x:f>
      </x:c>
      <x:c r="U230" s="297"/>
    </x:row>
    <x:row r="231">
      <x:c r="A231" s="293"/>
      <x:c r="B231" s="235"/>
      <x:c r="C231" s="294"/>
      <x:c r="D231" s="294"/>
      <x:c r="E231" s="314"/>
      <x:c r="F231" s="307" t="str">
        <x:f>IF(OR(A231="",B231="",C231=""),"",SUMIFS('04_SAKERNAS_AGG'!$K$2:$K$301,'04_SAKERNAS_AGG'!$E$2:$E$301,A231,'04_SAKERNAS_AGG'!$F$2:$F$301,B231,'04_SAKERNAS_AGG'!$H$2:$H$301,C231))</x:f>
      </x:c>
      <x:c r="G231" s="307" t="str">
        <x:f>IF(OR(E231="",F231=""),"",E231*F231)</x:f>
      </x:c>
      <x:c r="H231" s="307" t="str">
        <x:f>IF(OR(A231="",B231="",G231=""),"",SUMIFS($G$2:$G$301,$A$2:$A$301,A231,$B$2:$B$301,B231))</x:f>
      </x:c>
      <x:c r="I231" s="308" t="str">
        <x:f>IFERROR(G231/H231,"")</x:f>
      </x:c>
      <x:c r="J231" s="235"/>
      <x:c r="K231" s="235"/>
      <x:c r="L231" s="235"/>
      <x:c r="M231" s="235"/>
      <x:c r="N231" s="315" t="str">
        <x:f>IF(OR(I231="",K231=""),"",100*I231*K231)</x:f>
      </x:c>
      <x:c r="O231" s="308" t="str">
        <x:f>IF(OR(I231="",M231=""),"",I231*M231)</x:f>
      </x:c>
      <x:c r="P231" s="235"/>
      <x:c r="Q231" s="235"/>
      <x:c r="R231" s="235"/>
      <x:c r="S231" s="308" t="str">
        <x:f>IF(OR(A231="",B231=""),"",SUMIFS($I$2:$I$301,$A$2:$A$301,A231,$B$2:$B$301,B231))</x:f>
      </x:c>
      <x:c r="T231" s="233" t="str">
        <x:f>IF(B231="","",IF(ABS(S231-1)&gt;0.000001,"ERROR_SHARE",IF(OR(Q231&lt;&gt;"VERIFIED",R231&lt;&gt;"VERIFIED"),"CHECK_MAPPING","OK")))</x:f>
      </x:c>
      <x:c r="U231" s="297"/>
    </x:row>
    <x:row r="232">
      <x:c r="A232" s="293"/>
      <x:c r="B232" s="235"/>
      <x:c r="C232" s="294"/>
      <x:c r="D232" s="294"/>
      <x:c r="E232" s="314"/>
      <x:c r="F232" s="307" t="str">
        <x:f>IF(OR(A232="",B232="",C232=""),"",SUMIFS('04_SAKERNAS_AGG'!$K$2:$K$301,'04_SAKERNAS_AGG'!$E$2:$E$301,A232,'04_SAKERNAS_AGG'!$F$2:$F$301,B232,'04_SAKERNAS_AGG'!$H$2:$H$301,C232))</x:f>
      </x:c>
      <x:c r="G232" s="307" t="str">
        <x:f>IF(OR(E232="",F232=""),"",E232*F232)</x:f>
      </x:c>
      <x:c r="H232" s="307" t="str">
        <x:f>IF(OR(A232="",B232="",G232=""),"",SUMIFS($G$2:$G$301,$A$2:$A$301,A232,$B$2:$B$301,B232))</x:f>
      </x:c>
      <x:c r="I232" s="308" t="str">
        <x:f>IFERROR(G232/H232,"")</x:f>
      </x:c>
      <x:c r="J232" s="235"/>
      <x:c r="K232" s="235"/>
      <x:c r="L232" s="235"/>
      <x:c r="M232" s="235"/>
      <x:c r="N232" s="315" t="str">
        <x:f>IF(OR(I232="",K232=""),"",100*I232*K232)</x:f>
      </x:c>
      <x:c r="O232" s="308" t="str">
        <x:f>IF(OR(I232="",M232=""),"",I232*M232)</x:f>
      </x:c>
      <x:c r="P232" s="235"/>
      <x:c r="Q232" s="235"/>
      <x:c r="R232" s="235"/>
      <x:c r="S232" s="308" t="str">
        <x:f>IF(OR(A232="",B232=""),"",SUMIFS($I$2:$I$301,$A$2:$A$301,A232,$B$2:$B$301,B232))</x:f>
      </x:c>
      <x:c r="T232" s="233" t="str">
        <x:f>IF(B232="","",IF(ABS(S232-1)&gt;0.000001,"ERROR_SHARE",IF(OR(Q232&lt;&gt;"VERIFIED",R232&lt;&gt;"VERIFIED"),"CHECK_MAPPING","OK")))</x:f>
      </x:c>
      <x:c r="U232" s="297"/>
    </x:row>
    <x:row r="233">
      <x:c r="A233" s="293"/>
      <x:c r="B233" s="235"/>
      <x:c r="C233" s="294"/>
      <x:c r="D233" s="294"/>
      <x:c r="E233" s="314"/>
      <x:c r="F233" s="307" t="str">
        <x:f>IF(OR(A233="",B233="",C233=""),"",SUMIFS('04_SAKERNAS_AGG'!$K$2:$K$301,'04_SAKERNAS_AGG'!$E$2:$E$301,A233,'04_SAKERNAS_AGG'!$F$2:$F$301,B233,'04_SAKERNAS_AGG'!$H$2:$H$301,C233))</x:f>
      </x:c>
      <x:c r="G233" s="307" t="str">
        <x:f>IF(OR(E233="",F233=""),"",E233*F233)</x:f>
      </x:c>
      <x:c r="H233" s="307" t="str">
        <x:f>IF(OR(A233="",B233="",G233=""),"",SUMIFS($G$2:$G$301,$A$2:$A$301,A233,$B$2:$B$301,B233))</x:f>
      </x:c>
      <x:c r="I233" s="308" t="str">
        <x:f>IFERROR(G233/H233,"")</x:f>
      </x:c>
      <x:c r="J233" s="235"/>
      <x:c r="K233" s="235"/>
      <x:c r="L233" s="235"/>
      <x:c r="M233" s="235"/>
      <x:c r="N233" s="315" t="str">
        <x:f>IF(OR(I233="",K233=""),"",100*I233*K233)</x:f>
      </x:c>
      <x:c r="O233" s="308" t="str">
        <x:f>IF(OR(I233="",M233=""),"",I233*M233)</x:f>
      </x:c>
      <x:c r="P233" s="235"/>
      <x:c r="Q233" s="235"/>
      <x:c r="R233" s="235"/>
      <x:c r="S233" s="308" t="str">
        <x:f>IF(OR(A233="",B233=""),"",SUMIFS($I$2:$I$301,$A$2:$A$301,A233,$B$2:$B$301,B233))</x:f>
      </x:c>
      <x:c r="T233" s="233" t="str">
        <x:f>IF(B233="","",IF(ABS(S233-1)&gt;0.000001,"ERROR_SHARE",IF(OR(Q233&lt;&gt;"VERIFIED",R233&lt;&gt;"VERIFIED"),"CHECK_MAPPING","OK")))</x:f>
      </x:c>
      <x:c r="U233" s="297"/>
    </x:row>
    <x:row r="234">
      <x:c r="A234" s="293"/>
      <x:c r="B234" s="235"/>
      <x:c r="C234" s="294"/>
      <x:c r="D234" s="294"/>
      <x:c r="E234" s="314"/>
      <x:c r="F234" s="307" t="str">
        <x:f>IF(OR(A234="",B234="",C234=""),"",SUMIFS('04_SAKERNAS_AGG'!$K$2:$K$301,'04_SAKERNAS_AGG'!$E$2:$E$301,A234,'04_SAKERNAS_AGG'!$F$2:$F$301,B234,'04_SAKERNAS_AGG'!$H$2:$H$301,C234))</x:f>
      </x:c>
      <x:c r="G234" s="307" t="str">
        <x:f>IF(OR(E234="",F234=""),"",E234*F234)</x:f>
      </x:c>
      <x:c r="H234" s="307" t="str">
        <x:f>IF(OR(A234="",B234="",G234=""),"",SUMIFS($G$2:$G$301,$A$2:$A$301,A234,$B$2:$B$301,B234))</x:f>
      </x:c>
      <x:c r="I234" s="308" t="str">
        <x:f>IFERROR(G234/H234,"")</x:f>
      </x:c>
      <x:c r="J234" s="235"/>
      <x:c r="K234" s="235"/>
      <x:c r="L234" s="235"/>
      <x:c r="M234" s="235"/>
      <x:c r="N234" s="315" t="str">
        <x:f>IF(OR(I234="",K234=""),"",100*I234*K234)</x:f>
      </x:c>
      <x:c r="O234" s="308" t="str">
        <x:f>IF(OR(I234="",M234=""),"",I234*M234)</x:f>
      </x:c>
      <x:c r="P234" s="235"/>
      <x:c r="Q234" s="235"/>
      <x:c r="R234" s="235"/>
      <x:c r="S234" s="308" t="str">
        <x:f>IF(OR(A234="",B234=""),"",SUMIFS($I$2:$I$301,$A$2:$A$301,A234,$B$2:$B$301,B234))</x:f>
      </x:c>
      <x:c r="T234" s="233" t="str">
        <x:f>IF(B234="","",IF(ABS(S234-1)&gt;0.000001,"ERROR_SHARE",IF(OR(Q234&lt;&gt;"VERIFIED",R234&lt;&gt;"VERIFIED"),"CHECK_MAPPING","OK")))</x:f>
      </x:c>
      <x:c r="U234" s="297"/>
    </x:row>
    <x:row r="235">
      <x:c r="A235" s="293"/>
      <x:c r="B235" s="235"/>
      <x:c r="C235" s="294"/>
      <x:c r="D235" s="294"/>
      <x:c r="E235" s="314"/>
      <x:c r="F235" s="307" t="str">
        <x:f>IF(OR(A235="",B235="",C235=""),"",SUMIFS('04_SAKERNAS_AGG'!$K$2:$K$301,'04_SAKERNAS_AGG'!$E$2:$E$301,A235,'04_SAKERNAS_AGG'!$F$2:$F$301,B235,'04_SAKERNAS_AGG'!$H$2:$H$301,C235))</x:f>
      </x:c>
      <x:c r="G235" s="307" t="str">
        <x:f>IF(OR(E235="",F235=""),"",E235*F235)</x:f>
      </x:c>
      <x:c r="H235" s="307" t="str">
        <x:f>IF(OR(A235="",B235="",G235=""),"",SUMIFS($G$2:$G$301,$A$2:$A$301,A235,$B$2:$B$301,B235))</x:f>
      </x:c>
      <x:c r="I235" s="308" t="str">
        <x:f>IFERROR(G235/H235,"")</x:f>
      </x:c>
      <x:c r="J235" s="235"/>
      <x:c r="K235" s="235"/>
      <x:c r="L235" s="235"/>
      <x:c r="M235" s="235"/>
      <x:c r="N235" s="315" t="str">
        <x:f>IF(OR(I235="",K235=""),"",100*I235*K235)</x:f>
      </x:c>
      <x:c r="O235" s="308" t="str">
        <x:f>IF(OR(I235="",M235=""),"",I235*M235)</x:f>
      </x:c>
      <x:c r="P235" s="235"/>
      <x:c r="Q235" s="235"/>
      <x:c r="R235" s="235"/>
      <x:c r="S235" s="308" t="str">
        <x:f>IF(OR(A235="",B235=""),"",SUMIFS($I$2:$I$301,$A$2:$A$301,A235,$B$2:$B$301,B235))</x:f>
      </x:c>
      <x:c r="T235" s="233" t="str">
        <x:f>IF(B235="","",IF(ABS(S235-1)&gt;0.000001,"ERROR_SHARE",IF(OR(Q235&lt;&gt;"VERIFIED",R235&lt;&gt;"VERIFIED"),"CHECK_MAPPING","OK")))</x:f>
      </x:c>
      <x:c r="U235" s="297"/>
    </x:row>
    <x:row r="236">
      <x:c r="A236" s="293"/>
      <x:c r="B236" s="235"/>
      <x:c r="C236" s="294"/>
      <x:c r="D236" s="294"/>
      <x:c r="E236" s="314"/>
      <x:c r="F236" s="307" t="str">
        <x:f>IF(OR(A236="",B236="",C236=""),"",SUMIFS('04_SAKERNAS_AGG'!$K$2:$K$301,'04_SAKERNAS_AGG'!$E$2:$E$301,A236,'04_SAKERNAS_AGG'!$F$2:$F$301,B236,'04_SAKERNAS_AGG'!$H$2:$H$301,C236))</x:f>
      </x:c>
      <x:c r="G236" s="307" t="str">
        <x:f>IF(OR(E236="",F236=""),"",E236*F236)</x:f>
      </x:c>
      <x:c r="H236" s="307" t="str">
        <x:f>IF(OR(A236="",B236="",G236=""),"",SUMIFS($G$2:$G$301,$A$2:$A$301,A236,$B$2:$B$301,B236))</x:f>
      </x:c>
      <x:c r="I236" s="308" t="str">
        <x:f>IFERROR(G236/H236,"")</x:f>
      </x:c>
      <x:c r="J236" s="235"/>
      <x:c r="K236" s="235"/>
      <x:c r="L236" s="235"/>
      <x:c r="M236" s="235"/>
      <x:c r="N236" s="315" t="str">
        <x:f>IF(OR(I236="",K236=""),"",100*I236*K236)</x:f>
      </x:c>
      <x:c r="O236" s="308" t="str">
        <x:f>IF(OR(I236="",M236=""),"",I236*M236)</x:f>
      </x:c>
      <x:c r="P236" s="235"/>
      <x:c r="Q236" s="235"/>
      <x:c r="R236" s="235"/>
      <x:c r="S236" s="308" t="str">
        <x:f>IF(OR(A236="",B236=""),"",SUMIFS($I$2:$I$301,$A$2:$A$301,A236,$B$2:$B$301,B236))</x:f>
      </x:c>
      <x:c r="T236" s="233" t="str">
        <x:f>IF(B236="","",IF(ABS(S236-1)&gt;0.000001,"ERROR_SHARE",IF(OR(Q236&lt;&gt;"VERIFIED",R236&lt;&gt;"VERIFIED"),"CHECK_MAPPING","OK")))</x:f>
      </x:c>
      <x:c r="U236" s="297"/>
    </x:row>
    <x:row r="237">
      <x:c r="A237" s="293"/>
      <x:c r="B237" s="235"/>
      <x:c r="C237" s="294"/>
      <x:c r="D237" s="294"/>
      <x:c r="E237" s="314"/>
      <x:c r="F237" s="307" t="str">
        <x:f>IF(OR(A237="",B237="",C237=""),"",SUMIFS('04_SAKERNAS_AGG'!$K$2:$K$301,'04_SAKERNAS_AGG'!$E$2:$E$301,A237,'04_SAKERNAS_AGG'!$F$2:$F$301,B237,'04_SAKERNAS_AGG'!$H$2:$H$301,C237))</x:f>
      </x:c>
      <x:c r="G237" s="307" t="str">
        <x:f>IF(OR(E237="",F237=""),"",E237*F237)</x:f>
      </x:c>
      <x:c r="H237" s="307" t="str">
        <x:f>IF(OR(A237="",B237="",G237=""),"",SUMIFS($G$2:$G$301,$A$2:$A$301,A237,$B$2:$B$301,B237))</x:f>
      </x:c>
      <x:c r="I237" s="308" t="str">
        <x:f>IFERROR(G237/H237,"")</x:f>
      </x:c>
      <x:c r="J237" s="235"/>
      <x:c r="K237" s="235"/>
      <x:c r="L237" s="235"/>
      <x:c r="M237" s="235"/>
      <x:c r="N237" s="315" t="str">
        <x:f>IF(OR(I237="",K237=""),"",100*I237*K237)</x:f>
      </x:c>
      <x:c r="O237" s="308" t="str">
        <x:f>IF(OR(I237="",M237=""),"",I237*M237)</x:f>
      </x:c>
      <x:c r="P237" s="235"/>
      <x:c r="Q237" s="235"/>
      <x:c r="R237" s="235"/>
      <x:c r="S237" s="308" t="str">
        <x:f>IF(OR(A237="",B237=""),"",SUMIFS($I$2:$I$301,$A$2:$A$301,A237,$B$2:$B$301,B237))</x:f>
      </x:c>
      <x:c r="T237" s="233" t="str">
        <x:f>IF(B237="","",IF(ABS(S237-1)&gt;0.000001,"ERROR_SHARE",IF(OR(Q237&lt;&gt;"VERIFIED",R237&lt;&gt;"VERIFIED"),"CHECK_MAPPING","OK")))</x:f>
      </x:c>
      <x:c r="U237" s="297"/>
    </x:row>
    <x:row r="238">
      <x:c r="A238" s="293"/>
      <x:c r="B238" s="235"/>
      <x:c r="C238" s="294"/>
      <x:c r="D238" s="294"/>
      <x:c r="E238" s="314"/>
      <x:c r="F238" s="307" t="str">
        <x:f>IF(OR(A238="",B238="",C238=""),"",SUMIFS('04_SAKERNAS_AGG'!$K$2:$K$301,'04_SAKERNAS_AGG'!$E$2:$E$301,A238,'04_SAKERNAS_AGG'!$F$2:$F$301,B238,'04_SAKERNAS_AGG'!$H$2:$H$301,C238))</x:f>
      </x:c>
      <x:c r="G238" s="307" t="str">
        <x:f>IF(OR(E238="",F238=""),"",E238*F238)</x:f>
      </x:c>
      <x:c r="H238" s="307" t="str">
        <x:f>IF(OR(A238="",B238="",G238=""),"",SUMIFS($G$2:$G$301,$A$2:$A$301,A238,$B$2:$B$301,B238))</x:f>
      </x:c>
      <x:c r="I238" s="308" t="str">
        <x:f>IFERROR(G238/H238,"")</x:f>
      </x:c>
      <x:c r="J238" s="235"/>
      <x:c r="K238" s="235"/>
      <x:c r="L238" s="235"/>
      <x:c r="M238" s="235"/>
      <x:c r="N238" s="315" t="str">
        <x:f>IF(OR(I238="",K238=""),"",100*I238*K238)</x:f>
      </x:c>
      <x:c r="O238" s="308" t="str">
        <x:f>IF(OR(I238="",M238=""),"",I238*M238)</x:f>
      </x:c>
      <x:c r="P238" s="235"/>
      <x:c r="Q238" s="235"/>
      <x:c r="R238" s="235"/>
      <x:c r="S238" s="308" t="str">
        <x:f>IF(OR(A238="",B238=""),"",SUMIFS($I$2:$I$301,$A$2:$A$301,A238,$B$2:$B$301,B238))</x:f>
      </x:c>
      <x:c r="T238" s="233" t="str">
        <x:f>IF(B238="","",IF(ABS(S238-1)&gt;0.000001,"ERROR_SHARE",IF(OR(Q238&lt;&gt;"VERIFIED",R238&lt;&gt;"VERIFIED"),"CHECK_MAPPING","OK")))</x:f>
      </x:c>
      <x:c r="U238" s="297"/>
    </x:row>
    <x:row r="239">
      <x:c r="A239" s="293"/>
      <x:c r="B239" s="235"/>
      <x:c r="C239" s="294"/>
      <x:c r="D239" s="294"/>
      <x:c r="E239" s="314"/>
      <x:c r="F239" s="307" t="str">
        <x:f>IF(OR(A239="",B239="",C239=""),"",SUMIFS('04_SAKERNAS_AGG'!$K$2:$K$301,'04_SAKERNAS_AGG'!$E$2:$E$301,A239,'04_SAKERNAS_AGG'!$F$2:$F$301,B239,'04_SAKERNAS_AGG'!$H$2:$H$301,C239))</x:f>
      </x:c>
      <x:c r="G239" s="307" t="str">
        <x:f>IF(OR(E239="",F239=""),"",E239*F239)</x:f>
      </x:c>
      <x:c r="H239" s="307" t="str">
        <x:f>IF(OR(A239="",B239="",G239=""),"",SUMIFS($G$2:$G$301,$A$2:$A$301,A239,$B$2:$B$301,B239))</x:f>
      </x:c>
      <x:c r="I239" s="308" t="str">
        <x:f>IFERROR(G239/H239,"")</x:f>
      </x:c>
      <x:c r="J239" s="235"/>
      <x:c r="K239" s="235"/>
      <x:c r="L239" s="235"/>
      <x:c r="M239" s="235"/>
      <x:c r="N239" s="315" t="str">
        <x:f>IF(OR(I239="",K239=""),"",100*I239*K239)</x:f>
      </x:c>
      <x:c r="O239" s="308" t="str">
        <x:f>IF(OR(I239="",M239=""),"",I239*M239)</x:f>
      </x:c>
      <x:c r="P239" s="235"/>
      <x:c r="Q239" s="235"/>
      <x:c r="R239" s="235"/>
      <x:c r="S239" s="308" t="str">
        <x:f>IF(OR(A239="",B239=""),"",SUMIFS($I$2:$I$301,$A$2:$A$301,A239,$B$2:$B$301,B239))</x:f>
      </x:c>
      <x:c r="T239" s="233" t="str">
        <x:f>IF(B239="","",IF(ABS(S239-1)&gt;0.000001,"ERROR_SHARE",IF(OR(Q239&lt;&gt;"VERIFIED",R239&lt;&gt;"VERIFIED"),"CHECK_MAPPING","OK")))</x:f>
      </x:c>
      <x:c r="U239" s="297"/>
    </x:row>
    <x:row r="240">
      <x:c r="A240" s="293"/>
      <x:c r="B240" s="235"/>
      <x:c r="C240" s="294"/>
      <x:c r="D240" s="294"/>
      <x:c r="E240" s="314"/>
      <x:c r="F240" s="307" t="str">
        <x:f>IF(OR(A240="",B240="",C240=""),"",SUMIFS('04_SAKERNAS_AGG'!$K$2:$K$301,'04_SAKERNAS_AGG'!$E$2:$E$301,A240,'04_SAKERNAS_AGG'!$F$2:$F$301,B240,'04_SAKERNAS_AGG'!$H$2:$H$301,C240))</x:f>
      </x:c>
      <x:c r="G240" s="307" t="str">
        <x:f>IF(OR(E240="",F240=""),"",E240*F240)</x:f>
      </x:c>
      <x:c r="H240" s="307" t="str">
        <x:f>IF(OR(A240="",B240="",G240=""),"",SUMIFS($G$2:$G$301,$A$2:$A$301,A240,$B$2:$B$301,B240))</x:f>
      </x:c>
      <x:c r="I240" s="308" t="str">
        <x:f>IFERROR(G240/H240,"")</x:f>
      </x:c>
      <x:c r="J240" s="235"/>
      <x:c r="K240" s="235"/>
      <x:c r="L240" s="235"/>
      <x:c r="M240" s="235"/>
      <x:c r="N240" s="315" t="str">
        <x:f>IF(OR(I240="",K240=""),"",100*I240*K240)</x:f>
      </x:c>
      <x:c r="O240" s="308" t="str">
        <x:f>IF(OR(I240="",M240=""),"",I240*M240)</x:f>
      </x:c>
      <x:c r="P240" s="235"/>
      <x:c r="Q240" s="235"/>
      <x:c r="R240" s="235"/>
      <x:c r="S240" s="308" t="str">
        <x:f>IF(OR(A240="",B240=""),"",SUMIFS($I$2:$I$301,$A$2:$A$301,A240,$B$2:$B$301,B240))</x:f>
      </x:c>
      <x:c r="T240" s="233" t="str">
        <x:f>IF(B240="","",IF(ABS(S240-1)&gt;0.000001,"ERROR_SHARE",IF(OR(Q240&lt;&gt;"VERIFIED",R240&lt;&gt;"VERIFIED"),"CHECK_MAPPING","OK")))</x:f>
      </x:c>
      <x:c r="U240" s="297"/>
    </x:row>
    <x:row r="241">
      <x:c r="A241" s="293"/>
      <x:c r="B241" s="235"/>
      <x:c r="C241" s="294"/>
      <x:c r="D241" s="294"/>
      <x:c r="E241" s="314"/>
      <x:c r="F241" s="307" t="str">
        <x:f>IF(OR(A241="",B241="",C241=""),"",SUMIFS('04_SAKERNAS_AGG'!$K$2:$K$301,'04_SAKERNAS_AGG'!$E$2:$E$301,A241,'04_SAKERNAS_AGG'!$F$2:$F$301,B241,'04_SAKERNAS_AGG'!$H$2:$H$301,C241))</x:f>
      </x:c>
      <x:c r="G241" s="307" t="str">
        <x:f>IF(OR(E241="",F241=""),"",E241*F241)</x:f>
      </x:c>
      <x:c r="H241" s="307" t="str">
        <x:f>IF(OR(A241="",B241="",G241=""),"",SUMIFS($G$2:$G$301,$A$2:$A$301,A241,$B$2:$B$301,B241))</x:f>
      </x:c>
      <x:c r="I241" s="308" t="str">
        <x:f>IFERROR(G241/H241,"")</x:f>
      </x:c>
      <x:c r="J241" s="235"/>
      <x:c r="K241" s="235"/>
      <x:c r="L241" s="235"/>
      <x:c r="M241" s="235"/>
      <x:c r="N241" s="315" t="str">
        <x:f>IF(OR(I241="",K241=""),"",100*I241*K241)</x:f>
      </x:c>
      <x:c r="O241" s="308" t="str">
        <x:f>IF(OR(I241="",M241=""),"",I241*M241)</x:f>
      </x:c>
      <x:c r="P241" s="235"/>
      <x:c r="Q241" s="235"/>
      <x:c r="R241" s="235"/>
      <x:c r="S241" s="308" t="str">
        <x:f>IF(OR(A241="",B241=""),"",SUMIFS($I$2:$I$301,$A$2:$A$301,A241,$B$2:$B$301,B241))</x:f>
      </x:c>
      <x:c r="T241" s="233" t="str">
        <x:f>IF(B241="","",IF(ABS(S241-1)&gt;0.000001,"ERROR_SHARE",IF(OR(Q241&lt;&gt;"VERIFIED",R241&lt;&gt;"VERIFIED"),"CHECK_MAPPING","OK")))</x:f>
      </x:c>
      <x:c r="U241" s="297"/>
    </x:row>
    <x:row r="242">
      <x:c r="A242" s="293"/>
      <x:c r="B242" s="235"/>
      <x:c r="C242" s="294"/>
      <x:c r="D242" s="294"/>
      <x:c r="E242" s="314"/>
      <x:c r="F242" s="307" t="str">
        <x:f>IF(OR(A242="",B242="",C242=""),"",SUMIFS('04_SAKERNAS_AGG'!$K$2:$K$301,'04_SAKERNAS_AGG'!$E$2:$E$301,A242,'04_SAKERNAS_AGG'!$F$2:$F$301,B242,'04_SAKERNAS_AGG'!$H$2:$H$301,C242))</x:f>
      </x:c>
      <x:c r="G242" s="307" t="str">
        <x:f>IF(OR(E242="",F242=""),"",E242*F242)</x:f>
      </x:c>
      <x:c r="H242" s="307" t="str">
        <x:f>IF(OR(A242="",B242="",G242=""),"",SUMIFS($G$2:$G$301,$A$2:$A$301,A242,$B$2:$B$301,B242))</x:f>
      </x:c>
      <x:c r="I242" s="308" t="str">
        <x:f>IFERROR(G242/H242,"")</x:f>
      </x:c>
      <x:c r="J242" s="235"/>
      <x:c r="K242" s="235"/>
      <x:c r="L242" s="235"/>
      <x:c r="M242" s="235"/>
      <x:c r="N242" s="315" t="str">
        <x:f>IF(OR(I242="",K242=""),"",100*I242*K242)</x:f>
      </x:c>
      <x:c r="O242" s="308" t="str">
        <x:f>IF(OR(I242="",M242=""),"",I242*M242)</x:f>
      </x:c>
      <x:c r="P242" s="235"/>
      <x:c r="Q242" s="235"/>
      <x:c r="R242" s="235"/>
      <x:c r="S242" s="308" t="str">
        <x:f>IF(OR(A242="",B242=""),"",SUMIFS($I$2:$I$301,$A$2:$A$301,A242,$B$2:$B$301,B242))</x:f>
      </x:c>
      <x:c r="T242" s="233" t="str">
        <x:f>IF(B242="","",IF(ABS(S242-1)&gt;0.000001,"ERROR_SHARE",IF(OR(Q242&lt;&gt;"VERIFIED",R242&lt;&gt;"VERIFIED"),"CHECK_MAPPING","OK")))</x:f>
      </x:c>
      <x:c r="U242" s="297"/>
    </x:row>
    <x:row r="243">
      <x:c r="A243" s="293"/>
      <x:c r="B243" s="235"/>
      <x:c r="C243" s="294"/>
      <x:c r="D243" s="294"/>
      <x:c r="E243" s="314"/>
      <x:c r="F243" s="307" t="str">
        <x:f>IF(OR(A243="",B243="",C243=""),"",SUMIFS('04_SAKERNAS_AGG'!$K$2:$K$301,'04_SAKERNAS_AGG'!$E$2:$E$301,A243,'04_SAKERNAS_AGG'!$F$2:$F$301,B243,'04_SAKERNAS_AGG'!$H$2:$H$301,C243))</x:f>
      </x:c>
      <x:c r="G243" s="307" t="str">
        <x:f>IF(OR(E243="",F243=""),"",E243*F243)</x:f>
      </x:c>
      <x:c r="H243" s="307" t="str">
        <x:f>IF(OR(A243="",B243="",G243=""),"",SUMIFS($G$2:$G$301,$A$2:$A$301,A243,$B$2:$B$301,B243))</x:f>
      </x:c>
      <x:c r="I243" s="308" t="str">
        <x:f>IFERROR(G243/H243,"")</x:f>
      </x:c>
      <x:c r="J243" s="235"/>
      <x:c r="K243" s="235"/>
      <x:c r="L243" s="235"/>
      <x:c r="M243" s="235"/>
      <x:c r="N243" s="315" t="str">
        <x:f>IF(OR(I243="",K243=""),"",100*I243*K243)</x:f>
      </x:c>
      <x:c r="O243" s="308" t="str">
        <x:f>IF(OR(I243="",M243=""),"",I243*M243)</x:f>
      </x:c>
      <x:c r="P243" s="235"/>
      <x:c r="Q243" s="235"/>
      <x:c r="R243" s="235"/>
      <x:c r="S243" s="308" t="str">
        <x:f>IF(OR(A243="",B243=""),"",SUMIFS($I$2:$I$301,$A$2:$A$301,A243,$B$2:$B$301,B243))</x:f>
      </x:c>
      <x:c r="T243" s="233" t="str">
        <x:f>IF(B243="","",IF(ABS(S243-1)&gt;0.000001,"ERROR_SHARE",IF(OR(Q243&lt;&gt;"VERIFIED",R243&lt;&gt;"VERIFIED"),"CHECK_MAPPING","OK")))</x:f>
      </x:c>
      <x:c r="U243" s="297"/>
    </x:row>
    <x:row r="244">
      <x:c r="A244" s="293"/>
      <x:c r="B244" s="235"/>
      <x:c r="C244" s="294"/>
      <x:c r="D244" s="294"/>
      <x:c r="E244" s="314"/>
      <x:c r="F244" s="307" t="str">
        <x:f>IF(OR(A244="",B244="",C244=""),"",SUMIFS('04_SAKERNAS_AGG'!$K$2:$K$301,'04_SAKERNAS_AGG'!$E$2:$E$301,A244,'04_SAKERNAS_AGG'!$F$2:$F$301,B244,'04_SAKERNAS_AGG'!$H$2:$H$301,C244))</x:f>
      </x:c>
      <x:c r="G244" s="307" t="str">
        <x:f>IF(OR(E244="",F244=""),"",E244*F244)</x:f>
      </x:c>
      <x:c r="H244" s="307" t="str">
        <x:f>IF(OR(A244="",B244="",G244=""),"",SUMIFS($G$2:$G$301,$A$2:$A$301,A244,$B$2:$B$301,B244))</x:f>
      </x:c>
      <x:c r="I244" s="308" t="str">
        <x:f>IFERROR(G244/H244,"")</x:f>
      </x:c>
      <x:c r="J244" s="235"/>
      <x:c r="K244" s="235"/>
      <x:c r="L244" s="235"/>
      <x:c r="M244" s="235"/>
      <x:c r="N244" s="315" t="str">
        <x:f>IF(OR(I244="",K244=""),"",100*I244*K244)</x:f>
      </x:c>
      <x:c r="O244" s="308" t="str">
        <x:f>IF(OR(I244="",M244=""),"",I244*M244)</x:f>
      </x:c>
      <x:c r="P244" s="235"/>
      <x:c r="Q244" s="235"/>
      <x:c r="R244" s="235"/>
      <x:c r="S244" s="308" t="str">
        <x:f>IF(OR(A244="",B244=""),"",SUMIFS($I$2:$I$301,$A$2:$A$301,A244,$B$2:$B$301,B244))</x:f>
      </x:c>
      <x:c r="T244" s="233" t="str">
        <x:f>IF(B244="","",IF(ABS(S244-1)&gt;0.000001,"ERROR_SHARE",IF(OR(Q244&lt;&gt;"VERIFIED",R244&lt;&gt;"VERIFIED"),"CHECK_MAPPING","OK")))</x:f>
      </x:c>
      <x:c r="U244" s="297"/>
    </x:row>
    <x:row r="245">
      <x:c r="A245" s="293"/>
      <x:c r="B245" s="235"/>
      <x:c r="C245" s="294"/>
      <x:c r="D245" s="294"/>
      <x:c r="E245" s="314"/>
      <x:c r="F245" s="307" t="str">
        <x:f>IF(OR(A245="",B245="",C245=""),"",SUMIFS('04_SAKERNAS_AGG'!$K$2:$K$301,'04_SAKERNAS_AGG'!$E$2:$E$301,A245,'04_SAKERNAS_AGG'!$F$2:$F$301,B245,'04_SAKERNAS_AGG'!$H$2:$H$301,C245))</x:f>
      </x:c>
      <x:c r="G245" s="307" t="str">
        <x:f>IF(OR(E245="",F245=""),"",E245*F245)</x:f>
      </x:c>
      <x:c r="H245" s="307" t="str">
        <x:f>IF(OR(A245="",B245="",G245=""),"",SUMIFS($G$2:$G$301,$A$2:$A$301,A245,$B$2:$B$301,B245))</x:f>
      </x:c>
      <x:c r="I245" s="308" t="str">
        <x:f>IFERROR(G245/H245,"")</x:f>
      </x:c>
      <x:c r="J245" s="235"/>
      <x:c r="K245" s="235"/>
      <x:c r="L245" s="235"/>
      <x:c r="M245" s="235"/>
      <x:c r="N245" s="315" t="str">
        <x:f>IF(OR(I245="",K245=""),"",100*I245*K245)</x:f>
      </x:c>
      <x:c r="O245" s="308" t="str">
        <x:f>IF(OR(I245="",M245=""),"",I245*M245)</x:f>
      </x:c>
      <x:c r="P245" s="235"/>
      <x:c r="Q245" s="235"/>
      <x:c r="R245" s="235"/>
      <x:c r="S245" s="308" t="str">
        <x:f>IF(OR(A245="",B245=""),"",SUMIFS($I$2:$I$301,$A$2:$A$301,A245,$B$2:$B$301,B245))</x:f>
      </x:c>
      <x:c r="T245" s="233" t="str">
        <x:f>IF(B245="","",IF(ABS(S245-1)&gt;0.000001,"ERROR_SHARE",IF(OR(Q245&lt;&gt;"VERIFIED",R245&lt;&gt;"VERIFIED"),"CHECK_MAPPING","OK")))</x:f>
      </x:c>
      <x:c r="U245" s="297"/>
    </x:row>
    <x:row r="246">
      <x:c r="A246" s="293"/>
      <x:c r="B246" s="235"/>
      <x:c r="C246" s="294"/>
      <x:c r="D246" s="294"/>
      <x:c r="E246" s="314"/>
      <x:c r="F246" s="307" t="str">
        <x:f>IF(OR(A246="",B246="",C246=""),"",SUMIFS('04_SAKERNAS_AGG'!$K$2:$K$301,'04_SAKERNAS_AGG'!$E$2:$E$301,A246,'04_SAKERNAS_AGG'!$F$2:$F$301,B246,'04_SAKERNAS_AGG'!$H$2:$H$301,C246))</x:f>
      </x:c>
      <x:c r="G246" s="307" t="str">
        <x:f>IF(OR(E246="",F246=""),"",E246*F246)</x:f>
      </x:c>
      <x:c r="H246" s="307" t="str">
        <x:f>IF(OR(A246="",B246="",G246=""),"",SUMIFS($G$2:$G$301,$A$2:$A$301,A246,$B$2:$B$301,B246))</x:f>
      </x:c>
      <x:c r="I246" s="308" t="str">
        <x:f>IFERROR(G246/H246,"")</x:f>
      </x:c>
      <x:c r="J246" s="235"/>
      <x:c r="K246" s="235"/>
      <x:c r="L246" s="235"/>
      <x:c r="M246" s="235"/>
      <x:c r="N246" s="315" t="str">
        <x:f>IF(OR(I246="",K246=""),"",100*I246*K246)</x:f>
      </x:c>
      <x:c r="O246" s="308" t="str">
        <x:f>IF(OR(I246="",M246=""),"",I246*M246)</x:f>
      </x:c>
      <x:c r="P246" s="235"/>
      <x:c r="Q246" s="235"/>
      <x:c r="R246" s="235"/>
      <x:c r="S246" s="308" t="str">
        <x:f>IF(OR(A246="",B246=""),"",SUMIFS($I$2:$I$301,$A$2:$A$301,A246,$B$2:$B$301,B246))</x:f>
      </x:c>
      <x:c r="T246" s="233" t="str">
        <x:f>IF(B246="","",IF(ABS(S246-1)&gt;0.000001,"ERROR_SHARE",IF(OR(Q246&lt;&gt;"VERIFIED",R246&lt;&gt;"VERIFIED"),"CHECK_MAPPING","OK")))</x:f>
      </x:c>
      <x:c r="U246" s="297"/>
    </x:row>
    <x:row r="247">
      <x:c r="A247" s="293"/>
      <x:c r="B247" s="235"/>
      <x:c r="C247" s="294"/>
      <x:c r="D247" s="294"/>
      <x:c r="E247" s="314"/>
      <x:c r="F247" s="307" t="str">
        <x:f>IF(OR(A247="",B247="",C247=""),"",SUMIFS('04_SAKERNAS_AGG'!$K$2:$K$301,'04_SAKERNAS_AGG'!$E$2:$E$301,A247,'04_SAKERNAS_AGG'!$F$2:$F$301,B247,'04_SAKERNAS_AGG'!$H$2:$H$301,C247))</x:f>
      </x:c>
      <x:c r="G247" s="307" t="str">
        <x:f>IF(OR(E247="",F247=""),"",E247*F247)</x:f>
      </x:c>
      <x:c r="H247" s="307" t="str">
        <x:f>IF(OR(A247="",B247="",G247=""),"",SUMIFS($G$2:$G$301,$A$2:$A$301,A247,$B$2:$B$301,B247))</x:f>
      </x:c>
      <x:c r="I247" s="308" t="str">
        <x:f>IFERROR(G247/H247,"")</x:f>
      </x:c>
      <x:c r="J247" s="235"/>
      <x:c r="K247" s="235"/>
      <x:c r="L247" s="235"/>
      <x:c r="M247" s="235"/>
      <x:c r="N247" s="315" t="str">
        <x:f>IF(OR(I247="",K247=""),"",100*I247*K247)</x:f>
      </x:c>
      <x:c r="O247" s="308" t="str">
        <x:f>IF(OR(I247="",M247=""),"",I247*M247)</x:f>
      </x:c>
      <x:c r="P247" s="235"/>
      <x:c r="Q247" s="235"/>
      <x:c r="R247" s="235"/>
      <x:c r="S247" s="308" t="str">
        <x:f>IF(OR(A247="",B247=""),"",SUMIFS($I$2:$I$301,$A$2:$A$301,A247,$B$2:$B$301,B247))</x:f>
      </x:c>
      <x:c r="T247" s="233" t="str">
        <x:f>IF(B247="","",IF(ABS(S247-1)&gt;0.000001,"ERROR_SHARE",IF(OR(Q247&lt;&gt;"VERIFIED",R247&lt;&gt;"VERIFIED"),"CHECK_MAPPING","OK")))</x:f>
      </x:c>
      <x:c r="U247" s="297"/>
    </x:row>
    <x:row r="248">
      <x:c r="A248" s="293"/>
      <x:c r="B248" s="235"/>
      <x:c r="C248" s="294"/>
      <x:c r="D248" s="294"/>
      <x:c r="E248" s="314"/>
      <x:c r="F248" s="307" t="str">
        <x:f>IF(OR(A248="",B248="",C248=""),"",SUMIFS('04_SAKERNAS_AGG'!$K$2:$K$301,'04_SAKERNAS_AGG'!$E$2:$E$301,A248,'04_SAKERNAS_AGG'!$F$2:$F$301,B248,'04_SAKERNAS_AGG'!$H$2:$H$301,C248))</x:f>
      </x:c>
      <x:c r="G248" s="307" t="str">
        <x:f>IF(OR(E248="",F248=""),"",E248*F248)</x:f>
      </x:c>
      <x:c r="H248" s="307" t="str">
        <x:f>IF(OR(A248="",B248="",G248=""),"",SUMIFS($G$2:$G$301,$A$2:$A$301,A248,$B$2:$B$301,B248))</x:f>
      </x:c>
      <x:c r="I248" s="308" t="str">
        <x:f>IFERROR(G248/H248,"")</x:f>
      </x:c>
      <x:c r="J248" s="235"/>
      <x:c r="K248" s="235"/>
      <x:c r="L248" s="235"/>
      <x:c r="M248" s="235"/>
      <x:c r="N248" s="315" t="str">
        <x:f>IF(OR(I248="",K248=""),"",100*I248*K248)</x:f>
      </x:c>
      <x:c r="O248" s="308" t="str">
        <x:f>IF(OR(I248="",M248=""),"",I248*M248)</x:f>
      </x:c>
      <x:c r="P248" s="235"/>
      <x:c r="Q248" s="235"/>
      <x:c r="R248" s="235"/>
      <x:c r="S248" s="308" t="str">
        <x:f>IF(OR(A248="",B248=""),"",SUMIFS($I$2:$I$301,$A$2:$A$301,A248,$B$2:$B$301,B248))</x:f>
      </x:c>
      <x:c r="T248" s="233" t="str">
        <x:f>IF(B248="","",IF(ABS(S248-1)&gt;0.000001,"ERROR_SHARE",IF(OR(Q248&lt;&gt;"VERIFIED",R248&lt;&gt;"VERIFIED"),"CHECK_MAPPING","OK")))</x:f>
      </x:c>
      <x:c r="U248" s="297"/>
    </x:row>
    <x:row r="249">
      <x:c r="A249" s="293"/>
      <x:c r="B249" s="235"/>
      <x:c r="C249" s="294"/>
      <x:c r="D249" s="294"/>
      <x:c r="E249" s="314"/>
      <x:c r="F249" s="307" t="str">
        <x:f>IF(OR(A249="",B249="",C249=""),"",SUMIFS('04_SAKERNAS_AGG'!$K$2:$K$301,'04_SAKERNAS_AGG'!$E$2:$E$301,A249,'04_SAKERNAS_AGG'!$F$2:$F$301,B249,'04_SAKERNAS_AGG'!$H$2:$H$301,C249))</x:f>
      </x:c>
      <x:c r="G249" s="307" t="str">
        <x:f>IF(OR(E249="",F249=""),"",E249*F249)</x:f>
      </x:c>
      <x:c r="H249" s="307" t="str">
        <x:f>IF(OR(A249="",B249="",G249=""),"",SUMIFS($G$2:$G$301,$A$2:$A$301,A249,$B$2:$B$301,B249))</x:f>
      </x:c>
      <x:c r="I249" s="308" t="str">
        <x:f>IFERROR(G249/H249,"")</x:f>
      </x:c>
      <x:c r="J249" s="235"/>
      <x:c r="K249" s="235"/>
      <x:c r="L249" s="235"/>
      <x:c r="M249" s="235"/>
      <x:c r="N249" s="315" t="str">
        <x:f>IF(OR(I249="",K249=""),"",100*I249*K249)</x:f>
      </x:c>
      <x:c r="O249" s="308" t="str">
        <x:f>IF(OR(I249="",M249=""),"",I249*M249)</x:f>
      </x:c>
      <x:c r="P249" s="235"/>
      <x:c r="Q249" s="235"/>
      <x:c r="R249" s="235"/>
      <x:c r="S249" s="308" t="str">
        <x:f>IF(OR(A249="",B249=""),"",SUMIFS($I$2:$I$301,$A$2:$A$301,A249,$B$2:$B$301,B249))</x:f>
      </x:c>
      <x:c r="T249" s="233" t="str">
        <x:f>IF(B249="","",IF(ABS(S249-1)&gt;0.000001,"ERROR_SHARE",IF(OR(Q249&lt;&gt;"VERIFIED",R249&lt;&gt;"VERIFIED"),"CHECK_MAPPING","OK")))</x:f>
      </x:c>
      <x:c r="U249" s="297"/>
    </x:row>
    <x:row r="250">
      <x:c r="A250" s="293"/>
      <x:c r="B250" s="235"/>
      <x:c r="C250" s="294"/>
      <x:c r="D250" s="294"/>
      <x:c r="E250" s="314"/>
      <x:c r="F250" s="307" t="str">
        <x:f>IF(OR(A250="",B250="",C250=""),"",SUMIFS('04_SAKERNAS_AGG'!$K$2:$K$301,'04_SAKERNAS_AGG'!$E$2:$E$301,A250,'04_SAKERNAS_AGG'!$F$2:$F$301,B250,'04_SAKERNAS_AGG'!$H$2:$H$301,C250))</x:f>
      </x:c>
      <x:c r="G250" s="307" t="str">
        <x:f>IF(OR(E250="",F250=""),"",E250*F250)</x:f>
      </x:c>
      <x:c r="H250" s="307" t="str">
        <x:f>IF(OR(A250="",B250="",G250=""),"",SUMIFS($G$2:$G$301,$A$2:$A$301,A250,$B$2:$B$301,B250))</x:f>
      </x:c>
      <x:c r="I250" s="308" t="str">
        <x:f>IFERROR(G250/H250,"")</x:f>
      </x:c>
      <x:c r="J250" s="235"/>
      <x:c r="K250" s="235"/>
      <x:c r="L250" s="235"/>
      <x:c r="M250" s="235"/>
      <x:c r="N250" s="315" t="str">
        <x:f>IF(OR(I250="",K250=""),"",100*I250*K250)</x:f>
      </x:c>
      <x:c r="O250" s="308" t="str">
        <x:f>IF(OR(I250="",M250=""),"",I250*M250)</x:f>
      </x:c>
      <x:c r="P250" s="235"/>
      <x:c r="Q250" s="235"/>
      <x:c r="R250" s="235"/>
      <x:c r="S250" s="308" t="str">
        <x:f>IF(OR(A250="",B250=""),"",SUMIFS($I$2:$I$301,$A$2:$A$301,A250,$B$2:$B$301,B250))</x:f>
      </x:c>
      <x:c r="T250" s="233" t="str">
        <x:f>IF(B250="","",IF(ABS(S250-1)&gt;0.000001,"ERROR_SHARE",IF(OR(Q250&lt;&gt;"VERIFIED",R250&lt;&gt;"VERIFIED"),"CHECK_MAPPING","OK")))</x:f>
      </x:c>
      <x:c r="U250" s="297"/>
    </x:row>
    <x:row r="251">
      <x:c r="A251" s="293"/>
      <x:c r="B251" s="235"/>
      <x:c r="C251" s="294"/>
      <x:c r="D251" s="294"/>
      <x:c r="E251" s="314"/>
      <x:c r="F251" s="307" t="str">
        <x:f>IF(OR(A251="",B251="",C251=""),"",SUMIFS('04_SAKERNAS_AGG'!$K$2:$K$301,'04_SAKERNAS_AGG'!$E$2:$E$301,A251,'04_SAKERNAS_AGG'!$F$2:$F$301,B251,'04_SAKERNAS_AGG'!$H$2:$H$301,C251))</x:f>
      </x:c>
      <x:c r="G251" s="307" t="str">
        <x:f>IF(OR(E251="",F251=""),"",E251*F251)</x:f>
      </x:c>
      <x:c r="H251" s="307" t="str">
        <x:f>IF(OR(A251="",B251="",G251=""),"",SUMIFS($G$2:$G$301,$A$2:$A$301,A251,$B$2:$B$301,B251))</x:f>
      </x:c>
      <x:c r="I251" s="308" t="str">
        <x:f>IFERROR(G251/H251,"")</x:f>
      </x:c>
      <x:c r="J251" s="235"/>
      <x:c r="K251" s="235"/>
      <x:c r="L251" s="235"/>
      <x:c r="M251" s="235"/>
      <x:c r="N251" s="315" t="str">
        <x:f>IF(OR(I251="",K251=""),"",100*I251*K251)</x:f>
      </x:c>
      <x:c r="O251" s="308" t="str">
        <x:f>IF(OR(I251="",M251=""),"",I251*M251)</x:f>
      </x:c>
      <x:c r="P251" s="235"/>
      <x:c r="Q251" s="235"/>
      <x:c r="R251" s="235"/>
      <x:c r="S251" s="308" t="str">
        <x:f>IF(OR(A251="",B251=""),"",SUMIFS($I$2:$I$301,$A$2:$A$301,A251,$B$2:$B$301,B251))</x:f>
      </x:c>
      <x:c r="T251" s="233" t="str">
        <x:f>IF(B251="","",IF(ABS(S251-1)&gt;0.000001,"ERROR_SHARE",IF(OR(Q251&lt;&gt;"VERIFIED",R251&lt;&gt;"VERIFIED"),"CHECK_MAPPING","OK")))</x:f>
      </x:c>
      <x:c r="U251" s="297"/>
    </x:row>
    <x:row r="252">
      <x:c r="A252" s="293"/>
      <x:c r="B252" s="235"/>
      <x:c r="C252" s="294"/>
      <x:c r="D252" s="294"/>
      <x:c r="E252" s="314"/>
      <x:c r="F252" s="307" t="str">
        <x:f>IF(OR(A252="",B252="",C252=""),"",SUMIFS('04_SAKERNAS_AGG'!$K$2:$K$301,'04_SAKERNAS_AGG'!$E$2:$E$301,A252,'04_SAKERNAS_AGG'!$F$2:$F$301,B252,'04_SAKERNAS_AGG'!$H$2:$H$301,C252))</x:f>
      </x:c>
      <x:c r="G252" s="307" t="str">
        <x:f>IF(OR(E252="",F252=""),"",E252*F252)</x:f>
      </x:c>
      <x:c r="H252" s="307" t="str">
        <x:f>IF(OR(A252="",B252="",G252=""),"",SUMIFS($G$2:$G$301,$A$2:$A$301,A252,$B$2:$B$301,B252))</x:f>
      </x:c>
      <x:c r="I252" s="308" t="str">
        <x:f>IFERROR(G252/H252,"")</x:f>
      </x:c>
      <x:c r="J252" s="235"/>
      <x:c r="K252" s="235"/>
      <x:c r="L252" s="235"/>
      <x:c r="M252" s="235"/>
      <x:c r="N252" s="315" t="str">
        <x:f>IF(OR(I252="",K252=""),"",100*I252*K252)</x:f>
      </x:c>
      <x:c r="O252" s="308" t="str">
        <x:f>IF(OR(I252="",M252=""),"",I252*M252)</x:f>
      </x:c>
      <x:c r="P252" s="235"/>
      <x:c r="Q252" s="235"/>
      <x:c r="R252" s="235"/>
      <x:c r="S252" s="308" t="str">
        <x:f>IF(OR(A252="",B252=""),"",SUMIFS($I$2:$I$301,$A$2:$A$301,A252,$B$2:$B$301,B252))</x:f>
      </x:c>
      <x:c r="T252" s="233" t="str">
        <x:f>IF(B252="","",IF(ABS(S252-1)&gt;0.000001,"ERROR_SHARE",IF(OR(Q252&lt;&gt;"VERIFIED",R252&lt;&gt;"VERIFIED"),"CHECK_MAPPING","OK")))</x:f>
      </x:c>
      <x:c r="U252" s="297"/>
    </x:row>
    <x:row r="253">
      <x:c r="A253" s="293"/>
      <x:c r="B253" s="235"/>
      <x:c r="C253" s="294"/>
      <x:c r="D253" s="294"/>
      <x:c r="E253" s="314"/>
      <x:c r="F253" s="307" t="str">
        <x:f>IF(OR(A253="",B253="",C253=""),"",SUMIFS('04_SAKERNAS_AGG'!$K$2:$K$301,'04_SAKERNAS_AGG'!$E$2:$E$301,A253,'04_SAKERNAS_AGG'!$F$2:$F$301,B253,'04_SAKERNAS_AGG'!$H$2:$H$301,C253))</x:f>
      </x:c>
      <x:c r="G253" s="307" t="str">
        <x:f>IF(OR(E253="",F253=""),"",E253*F253)</x:f>
      </x:c>
      <x:c r="H253" s="307" t="str">
        <x:f>IF(OR(A253="",B253="",G253=""),"",SUMIFS($G$2:$G$301,$A$2:$A$301,A253,$B$2:$B$301,B253))</x:f>
      </x:c>
      <x:c r="I253" s="308" t="str">
        <x:f>IFERROR(G253/H253,"")</x:f>
      </x:c>
      <x:c r="J253" s="235"/>
      <x:c r="K253" s="235"/>
      <x:c r="L253" s="235"/>
      <x:c r="M253" s="235"/>
      <x:c r="N253" s="315" t="str">
        <x:f>IF(OR(I253="",K253=""),"",100*I253*K253)</x:f>
      </x:c>
      <x:c r="O253" s="308" t="str">
        <x:f>IF(OR(I253="",M253=""),"",I253*M253)</x:f>
      </x:c>
      <x:c r="P253" s="235"/>
      <x:c r="Q253" s="235"/>
      <x:c r="R253" s="235"/>
      <x:c r="S253" s="308" t="str">
        <x:f>IF(OR(A253="",B253=""),"",SUMIFS($I$2:$I$301,$A$2:$A$301,A253,$B$2:$B$301,B253))</x:f>
      </x:c>
      <x:c r="T253" s="233" t="str">
        <x:f>IF(B253="","",IF(ABS(S253-1)&gt;0.000001,"ERROR_SHARE",IF(OR(Q253&lt;&gt;"VERIFIED",R253&lt;&gt;"VERIFIED"),"CHECK_MAPPING","OK")))</x:f>
      </x:c>
      <x:c r="U253" s="297"/>
    </x:row>
    <x:row r="254">
      <x:c r="A254" s="293"/>
      <x:c r="B254" s="235"/>
      <x:c r="C254" s="294"/>
      <x:c r="D254" s="294"/>
      <x:c r="E254" s="314"/>
      <x:c r="F254" s="307" t="str">
        <x:f>IF(OR(A254="",B254="",C254=""),"",SUMIFS('04_SAKERNAS_AGG'!$K$2:$K$301,'04_SAKERNAS_AGG'!$E$2:$E$301,A254,'04_SAKERNAS_AGG'!$F$2:$F$301,B254,'04_SAKERNAS_AGG'!$H$2:$H$301,C254))</x:f>
      </x:c>
      <x:c r="G254" s="307" t="str">
        <x:f>IF(OR(E254="",F254=""),"",E254*F254)</x:f>
      </x:c>
      <x:c r="H254" s="307" t="str">
        <x:f>IF(OR(A254="",B254="",G254=""),"",SUMIFS($G$2:$G$301,$A$2:$A$301,A254,$B$2:$B$301,B254))</x:f>
      </x:c>
      <x:c r="I254" s="308" t="str">
        <x:f>IFERROR(G254/H254,"")</x:f>
      </x:c>
      <x:c r="J254" s="235"/>
      <x:c r="K254" s="235"/>
      <x:c r="L254" s="235"/>
      <x:c r="M254" s="235"/>
      <x:c r="N254" s="315" t="str">
        <x:f>IF(OR(I254="",K254=""),"",100*I254*K254)</x:f>
      </x:c>
      <x:c r="O254" s="308" t="str">
        <x:f>IF(OR(I254="",M254=""),"",I254*M254)</x:f>
      </x:c>
      <x:c r="P254" s="235"/>
      <x:c r="Q254" s="235"/>
      <x:c r="R254" s="235"/>
      <x:c r="S254" s="308" t="str">
        <x:f>IF(OR(A254="",B254=""),"",SUMIFS($I$2:$I$301,$A$2:$A$301,A254,$B$2:$B$301,B254))</x:f>
      </x:c>
      <x:c r="T254" s="233" t="str">
        <x:f>IF(B254="","",IF(ABS(S254-1)&gt;0.000001,"ERROR_SHARE",IF(OR(Q254&lt;&gt;"VERIFIED",R254&lt;&gt;"VERIFIED"),"CHECK_MAPPING","OK")))</x:f>
      </x:c>
      <x:c r="U254" s="297"/>
    </x:row>
    <x:row r="255">
      <x:c r="A255" s="293"/>
      <x:c r="B255" s="235"/>
      <x:c r="C255" s="294"/>
      <x:c r="D255" s="294"/>
      <x:c r="E255" s="314"/>
      <x:c r="F255" s="307" t="str">
        <x:f>IF(OR(A255="",B255="",C255=""),"",SUMIFS('04_SAKERNAS_AGG'!$K$2:$K$301,'04_SAKERNAS_AGG'!$E$2:$E$301,A255,'04_SAKERNAS_AGG'!$F$2:$F$301,B255,'04_SAKERNAS_AGG'!$H$2:$H$301,C255))</x:f>
      </x:c>
      <x:c r="G255" s="307" t="str">
        <x:f>IF(OR(E255="",F255=""),"",E255*F255)</x:f>
      </x:c>
      <x:c r="H255" s="307" t="str">
        <x:f>IF(OR(A255="",B255="",G255=""),"",SUMIFS($G$2:$G$301,$A$2:$A$301,A255,$B$2:$B$301,B255))</x:f>
      </x:c>
      <x:c r="I255" s="308" t="str">
        <x:f>IFERROR(G255/H255,"")</x:f>
      </x:c>
      <x:c r="J255" s="235"/>
      <x:c r="K255" s="235"/>
      <x:c r="L255" s="235"/>
      <x:c r="M255" s="235"/>
      <x:c r="N255" s="315" t="str">
        <x:f>IF(OR(I255="",K255=""),"",100*I255*K255)</x:f>
      </x:c>
      <x:c r="O255" s="308" t="str">
        <x:f>IF(OR(I255="",M255=""),"",I255*M255)</x:f>
      </x:c>
      <x:c r="P255" s="235"/>
      <x:c r="Q255" s="235"/>
      <x:c r="R255" s="235"/>
      <x:c r="S255" s="308" t="str">
        <x:f>IF(OR(A255="",B255=""),"",SUMIFS($I$2:$I$301,$A$2:$A$301,A255,$B$2:$B$301,B255))</x:f>
      </x:c>
      <x:c r="T255" s="233" t="str">
        <x:f>IF(B255="","",IF(ABS(S255-1)&gt;0.000001,"ERROR_SHARE",IF(OR(Q255&lt;&gt;"VERIFIED",R255&lt;&gt;"VERIFIED"),"CHECK_MAPPING","OK")))</x:f>
      </x:c>
      <x:c r="U255" s="297"/>
    </x:row>
    <x:row r="256">
      <x:c r="A256" s="293"/>
      <x:c r="B256" s="235"/>
      <x:c r="C256" s="294"/>
      <x:c r="D256" s="294"/>
      <x:c r="E256" s="314"/>
      <x:c r="F256" s="307" t="str">
        <x:f>IF(OR(A256="",B256="",C256=""),"",SUMIFS('04_SAKERNAS_AGG'!$K$2:$K$301,'04_SAKERNAS_AGG'!$E$2:$E$301,A256,'04_SAKERNAS_AGG'!$F$2:$F$301,B256,'04_SAKERNAS_AGG'!$H$2:$H$301,C256))</x:f>
      </x:c>
      <x:c r="G256" s="307" t="str">
        <x:f>IF(OR(E256="",F256=""),"",E256*F256)</x:f>
      </x:c>
      <x:c r="H256" s="307" t="str">
        <x:f>IF(OR(A256="",B256="",G256=""),"",SUMIFS($G$2:$G$301,$A$2:$A$301,A256,$B$2:$B$301,B256))</x:f>
      </x:c>
      <x:c r="I256" s="308" t="str">
        <x:f>IFERROR(G256/H256,"")</x:f>
      </x:c>
      <x:c r="J256" s="235"/>
      <x:c r="K256" s="235"/>
      <x:c r="L256" s="235"/>
      <x:c r="M256" s="235"/>
      <x:c r="N256" s="315" t="str">
        <x:f>IF(OR(I256="",K256=""),"",100*I256*K256)</x:f>
      </x:c>
      <x:c r="O256" s="308" t="str">
        <x:f>IF(OR(I256="",M256=""),"",I256*M256)</x:f>
      </x:c>
      <x:c r="P256" s="235"/>
      <x:c r="Q256" s="235"/>
      <x:c r="R256" s="235"/>
      <x:c r="S256" s="308" t="str">
        <x:f>IF(OR(A256="",B256=""),"",SUMIFS($I$2:$I$301,$A$2:$A$301,A256,$B$2:$B$301,B256))</x:f>
      </x:c>
      <x:c r="T256" s="233" t="str">
        <x:f>IF(B256="","",IF(ABS(S256-1)&gt;0.000001,"ERROR_SHARE",IF(OR(Q256&lt;&gt;"VERIFIED",R256&lt;&gt;"VERIFIED"),"CHECK_MAPPING","OK")))</x:f>
      </x:c>
      <x:c r="U256" s="297"/>
    </x:row>
    <x:row r="257">
      <x:c r="A257" s="293"/>
      <x:c r="B257" s="235"/>
      <x:c r="C257" s="294"/>
      <x:c r="D257" s="294"/>
      <x:c r="E257" s="314"/>
      <x:c r="F257" s="307" t="str">
        <x:f>IF(OR(A257="",B257="",C257=""),"",SUMIFS('04_SAKERNAS_AGG'!$K$2:$K$301,'04_SAKERNAS_AGG'!$E$2:$E$301,A257,'04_SAKERNAS_AGG'!$F$2:$F$301,B257,'04_SAKERNAS_AGG'!$H$2:$H$301,C257))</x:f>
      </x:c>
      <x:c r="G257" s="307" t="str">
        <x:f>IF(OR(E257="",F257=""),"",E257*F257)</x:f>
      </x:c>
      <x:c r="H257" s="307" t="str">
        <x:f>IF(OR(A257="",B257="",G257=""),"",SUMIFS($G$2:$G$301,$A$2:$A$301,A257,$B$2:$B$301,B257))</x:f>
      </x:c>
      <x:c r="I257" s="308" t="str">
        <x:f>IFERROR(G257/H257,"")</x:f>
      </x:c>
      <x:c r="J257" s="235"/>
      <x:c r="K257" s="235"/>
      <x:c r="L257" s="235"/>
      <x:c r="M257" s="235"/>
      <x:c r="N257" s="315" t="str">
        <x:f>IF(OR(I257="",K257=""),"",100*I257*K257)</x:f>
      </x:c>
      <x:c r="O257" s="308" t="str">
        <x:f>IF(OR(I257="",M257=""),"",I257*M257)</x:f>
      </x:c>
      <x:c r="P257" s="235"/>
      <x:c r="Q257" s="235"/>
      <x:c r="R257" s="235"/>
      <x:c r="S257" s="308" t="str">
        <x:f>IF(OR(A257="",B257=""),"",SUMIFS($I$2:$I$301,$A$2:$A$301,A257,$B$2:$B$301,B257))</x:f>
      </x:c>
      <x:c r="T257" s="233" t="str">
        <x:f>IF(B257="","",IF(ABS(S257-1)&gt;0.000001,"ERROR_SHARE",IF(OR(Q257&lt;&gt;"VERIFIED",R257&lt;&gt;"VERIFIED"),"CHECK_MAPPING","OK")))</x:f>
      </x:c>
      <x:c r="U257" s="297"/>
    </x:row>
    <x:row r="258">
      <x:c r="A258" s="293"/>
      <x:c r="B258" s="235"/>
      <x:c r="C258" s="294"/>
      <x:c r="D258" s="294"/>
      <x:c r="E258" s="314"/>
      <x:c r="F258" s="307" t="str">
        <x:f>IF(OR(A258="",B258="",C258=""),"",SUMIFS('04_SAKERNAS_AGG'!$K$2:$K$301,'04_SAKERNAS_AGG'!$E$2:$E$301,A258,'04_SAKERNAS_AGG'!$F$2:$F$301,B258,'04_SAKERNAS_AGG'!$H$2:$H$301,C258))</x:f>
      </x:c>
      <x:c r="G258" s="307" t="str">
        <x:f>IF(OR(E258="",F258=""),"",E258*F258)</x:f>
      </x:c>
      <x:c r="H258" s="307" t="str">
        <x:f>IF(OR(A258="",B258="",G258=""),"",SUMIFS($G$2:$G$301,$A$2:$A$301,A258,$B$2:$B$301,B258))</x:f>
      </x:c>
      <x:c r="I258" s="308" t="str">
        <x:f>IFERROR(G258/H258,"")</x:f>
      </x:c>
      <x:c r="J258" s="235"/>
      <x:c r="K258" s="235"/>
      <x:c r="L258" s="235"/>
      <x:c r="M258" s="235"/>
      <x:c r="N258" s="315" t="str">
        <x:f>IF(OR(I258="",K258=""),"",100*I258*K258)</x:f>
      </x:c>
      <x:c r="O258" s="308" t="str">
        <x:f>IF(OR(I258="",M258=""),"",I258*M258)</x:f>
      </x:c>
      <x:c r="P258" s="235"/>
      <x:c r="Q258" s="235"/>
      <x:c r="R258" s="235"/>
      <x:c r="S258" s="308" t="str">
        <x:f>IF(OR(A258="",B258=""),"",SUMIFS($I$2:$I$301,$A$2:$A$301,A258,$B$2:$B$301,B258))</x:f>
      </x:c>
      <x:c r="T258" s="233" t="str">
        <x:f>IF(B258="","",IF(ABS(S258-1)&gt;0.000001,"ERROR_SHARE",IF(OR(Q258&lt;&gt;"VERIFIED",R258&lt;&gt;"VERIFIED"),"CHECK_MAPPING","OK")))</x:f>
      </x:c>
      <x:c r="U258" s="297"/>
    </x:row>
    <x:row r="259">
      <x:c r="A259" s="293"/>
      <x:c r="B259" s="235"/>
      <x:c r="C259" s="294"/>
      <x:c r="D259" s="294"/>
      <x:c r="E259" s="314"/>
      <x:c r="F259" s="307" t="str">
        <x:f>IF(OR(A259="",B259="",C259=""),"",SUMIFS('04_SAKERNAS_AGG'!$K$2:$K$301,'04_SAKERNAS_AGG'!$E$2:$E$301,A259,'04_SAKERNAS_AGG'!$F$2:$F$301,B259,'04_SAKERNAS_AGG'!$H$2:$H$301,C259))</x:f>
      </x:c>
      <x:c r="G259" s="307" t="str">
        <x:f>IF(OR(E259="",F259=""),"",E259*F259)</x:f>
      </x:c>
      <x:c r="H259" s="307" t="str">
        <x:f>IF(OR(A259="",B259="",G259=""),"",SUMIFS($G$2:$G$301,$A$2:$A$301,A259,$B$2:$B$301,B259))</x:f>
      </x:c>
      <x:c r="I259" s="308" t="str">
        <x:f>IFERROR(G259/H259,"")</x:f>
      </x:c>
      <x:c r="J259" s="235"/>
      <x:c r="K259" s="235"/>
      <x:c r="L259" s="235"/>
      <x:c r="M259" s="235"/>
      <x:c r="N259" s="315" t="str">
        <x:f>IF(OR(I259="",K259=""),"",100*I259*K259)</x:f>
      </x:c>
      <x:c r="O259" s="308" t="str">
        <x:f>IF(OR(I259="",M259=""),"",I259*M259)</x:f>
      </x:c>
      <x:c r="P259" s="235"/>
      <x:c r="Q259" s="235"/>
      <x:c r="R259" s="235"/>
      <x:c r="S259" s="308" t="str">
        <x:f>IF(OR(A259="",B259=""),"",SUMIFS($I$2:$I$301,$A$2:$A$301,A259,$B$2:$B$301,B259))</x:f>
      </x:c>
      <x:c r="T259" s="233" t="str">
        <x:f>IF(B259="","",IF(ABS(S259-1)&gt;0.000001,"ERROR_SHARE",IF(OR(Q259&lt;&gt;"VERIFIED",R259&lt;&gt;"VERIFIED"),"CHECK_MAPPING","OK")))</x:f>
      </x:c>
      <x:c r="U259" s="297"/>
    </x:row>
    <x:row r="260">
      <x:c r="A260" s="293"/>
      <x:c r="B260" s="235"/>
      <x:c r="C260" s="294"/>
      <x:c r="D260" s="294"/>
      <x:c r="E260" s="314"/>
      <x:c r="F260" s="307" t="str">
        <x:f>IF(OR(A260="",B260="",C260=""),"",SUMIFS('04_SAKERNAS_AGG'!$K$2:$K$301,'04_SAKERNAS_AGG'!$E$2:$E$301,A260,'04_SAKERNAS_AGG'!$F$2:$F$301,B260,'04_SAKERNAS_AGG'!$H$2:$H$301,C260))</x:f>
      </x:c>
      <x:c r="G260" s="307" t="str">
        <x:f>IF(OR(E260="",F260=""),"",E260*F260)</x:f>
      </x:c>
      <x:c r="H260" s="307" t="str">
        <x:f>IF(OR(A260="",B260="",G260=""),"",SUMIFS($G$2:$G$301,$A$2:$A$301,A260,$B$2:$B$301,B260))</x:f>
      </x:c>
      <x:c r="I260" s="308" t="str">
        <x:f>IFERROR(G260/H260,"")</x:f>
      </x:c>
      <x:c r="J260" s="235"/>
      <x:c r="K260" s="235"/>
      <x:c r="L260" s="235"/>
      <x:c r="M260" s="235"/>
      <x:c r="N260" s="315" t="str">
        <x:f>IF(OR(I260="",K260=""),"",100*I260*K260)</x:f>
      </x:c>
      <x:c r="O260" s="308" t="str">
        <x:f>IF(OR(I260="",M260=""),"",I260*M260)</x:f>
      </x:c>
      <x:c r="P260" s="235"/>
      <x:c r="Q260" s="235"/>
      <x:c r="R260" s="235"/>
      <x:c r="S260" s="308" t="str">
        <x:f>IF(OR(A260="",B260=""),"",SUMIFS($I$2:$I$301,$A$2:$A$301,A260,$B$2:$B$301,B260))</x:f>
      </x:c>
      <x:c r="T260" s="233" t="str">
        <x:f>IF(B260="","",IF(ABS(S260-1)&gt;0.000001,"ERROR_SHARE",IF(OR(Q260&lt;&gt;"VERIFIED",R260&lt;&gt;"VERIFIED"),"CHECK_MAPPING","OK")))</x:f>
      </x:c>
      <x:c r="U260" s="297"/>
    </x:row>
    <x:row r="261">
      <x:c r="A261" s="293"/>
      <x:c r="B261" s="235"/>
      <x:c r="C261" s="294"/>
      <x:c r="D261" s="294"/>
      <x:c r="E261" s="314"/>
      <x:c r="F261" s="307" t="str">
        <x:f>IF(OR(A261="",B261="",C261=""),"",SUMIFS('04_SAKERNAS_AGG'!$K$2:$K$301,'04_SAKERNAS_AGG'!$E$2:$E$301,A261,'04_SAKERNAS_AGG'!$F$2:$F$301,B261,'04_SAKERNAS_AGG'!$H$2:$H$301,C261))</x:f>
      </x:c>
      <x:c r="G261" s="307" t="str">
        <x:f>IF(OR(E261="",F261=""),"",E261*F261)</x:f>
      </x:c>
      <x:c r="H261" s="307" t="str">
        <x:f>IF(OR(A261="",B261="",G261=""),"",SUMIFS($G$2:$G$301,$A$2:$A$301,A261,$B$2:$B$301,B261))</x:f>
      </x:c>
      <x:c r="I261" s="308" t="str">
        <x:f>IFERROR(G261/H261,"")</x:f>
      </x:c>
      <x:c r="J261" s="235"/>
      <x:c r="K261" s="235"/>
      <x:c r="L261" s="235"/>
      <x:c r="M261" s="235"/>
      <x:c r="N261" s="315" t="str">
        <x:f>IF(OR(I261="",K261=""),"",100*I261*K261)</x:f>
      </x:c>
      <x:c r="O261" s="308" t="str">
        <x:f>IF(OR(I261="",M261=""),"",I261*M261)</x:f>
      </x:c>
      <x:c r="P261" s="235"/>
      <x:c r="Q261" s="235"/>
      <x:c r="R261" s="235"/>
      <x:c r="S261" s="308" t="str">
        <x:f>IF(OR(A261="",B261=""),"",SUMIFS($I$2:$I$301,$A$2:$A$301,A261,$B$2:$B$301,B261))</x:f>
      </x:c>
      <x:c r="T261" s="233" t="str">
        <x:f>IF(B261="","",IF(ABS(S261-1)&gt;0.000001,"ERROR_SHARE",IF(OR(Q261&lt;&gt;"VERIFIED",R261&lt;&gt;"VERIFIED"),"CHECK_MAPPING","OK")))</x:f>
      </x:c>
      <x:c r="U261" s="297"/>
    </x:row>
    <x:row r="262">
      <x:c r="A262" s="293"/>
      <x:c r="B262" s="235"/>
      <x:c r="C262" s="294"/>
      <x:c r="D262" s="294"/>
      <x:c r="E262" s="314"/>
      <x:c r="F262" s="307" t="str">
        <x:f>IF(OR(A262="",B262="",C262=""),"",SUMIFS('04_SAKERNAS_AGG'!$K$2:$K$301,'04_SAKERNAS_AGG'!$E$2:$E$301,A262,'04_SAKERNAS_AGG'!$F$2:$F$301,B262,'04_SAKERNAS_AGG'!$H$2:$H$301,C262))</x:f>
      </x:c>
      <x:c r="G262" s="307" t="str">
        <x:f>IF(OR(E262="",F262=""),"",E262*F262)</x:f>
      </x:c>
      <x:c r="H262" s="307" t="str">
        <x:f>IF(OR(A262="",B262="",G262=""),"",SUMIFS($G$2:$G$301,$A$2:$A$301,A262,$B$2:$B$301,B262))</x:f>
      </x:c>
      <x:c r="I262" s="308" t="str">
        <x:f>IFERROR(G262/H262,"")</x:f>
      </x:c>
      <x:c r="J262" s="235"/>
      <x:c r="K262" s="235"/>
      <x:c r="L262" s="235"/>
      <x:c r="M262" s="235"/>
      <x:c r="N262" s="315" t="str">
        <x:f>IF(OR(I262="",K262=""),"",100*I262*K262)</x:f>
      </x:c>
      <x:c r="O262" s="308" t="str">
        <x:f>IF(OR(I262="",M262=""),"",I262*M262)</x:f>
      </x:c>
      <x:c r="P262" s="235"/>
      <x:c r="Q262" s="235"/>
      <x:c r="R262" s="235"/>
      <x:c r="S262" s="308" t="str">
        <x:f>IF(OR(A262="",B262=""),"",SUMIFS($I$2:$I$301,$A$2:$A$301,A262,$B$2:$B$301,B262))</x:f>
      </x:c>
      <x:c r="T262" s="233" t="str">
        <x:f>IF(B262="","",IF(ABS(S262-1)&gt;0.000001,"ERROR_SHARE",IF(OR(Q262&lt;&gt;"VERIFIED",R262&lt;&gt;"VERIFIED"),"CHECK_MAPPING","OK")))</x:f>
      </x:c>
      <x:c r="U262" s="297"/>
    </x:row>
    <x:row r="263">
      <x:c r="A263" s="293"/>
      <x:c r="B263" s="235"/>
      <x:c r="C263" s="294"/>
      <x:c r="D263" s="294"/>
      <x:c r="E263" s="314"/>
      <x:c r="F263" s="307" t="str">
        <x:f>IF(OR(A263="",B263="",C263=""),"",SUMIFS('04_SAKERNAS_AGG'!$K$2:$K$301,'04_SAKERNAS_AGG'!$E$2:$E$301,A263,'04_SAKERNAS_AGG'!$F$2:$F$301,B263,'04_SAKERNAS_AGG'!$H$2:$H$301,C263))</x:f>
      </x:c>
      <x:c r="G263" s="307" t="str">
        <x:f>IF(OR(E263="",F263=""),"",E263*F263)</x:f>
      </x:c>
      <x:c r="H263" s="307" t="str">
        <x:f>IF(OR(A263="",B263="",G263=""),"",SUMIFS($G$2:$G$301,$A$2:$A$301,A263,$B$2:$B$301,B263))</x:f>
      </x:c>
      <x:c r="I263" s="308" t="str">
        <x:f>IFERROR(G263/H263,"")</x:f>
      </x:c>
      <x:c r="J263" s="235"/>
      <x:c r="K263" s="235"/>
      <x:c r="L263" s="235"/>
      <x:c r="M263" s="235"/>
      <x:c r="N263" s="315" t="str">
        <x:f>IF(OR(I263="",K263=""),"",100*I263*K263)</x:f>
      </x:c>
      <x:c r="O263" s="308" t="str">
        <x:f>IF(OR(I263="",M263=""),"",I263*M263)</x:f>
      </x:c>
      <x:c r="P263" s="235"/>
      <x:c r="Q263" s="235"/>
      <x:c r="R263" s="235"/>
      <x:c r="S263" s="308" t="str">
        <x:f>IF(OR(A263="",B263=""),"",SUMIFS($I$2:$I$301,$A$2:$A$301,A263,$B$2:$B$301,B263))</x:f>
      </x:c>
      <x:c r="T263" s="233" t="str">
        <x:f>IF(B263="","",IF(ABS(S263-1)&gt;0.000001,"ERROR_SHARE",IF(OR(Q263&lt;&gt;"VERIFIED",R263&lt;&gt;"VERIFIED"),"CHECK_MAPPING","OK")))</x:f>
      </x:c>
      <x:c r="U263" s="297"/>
    </x:row>
    <x:row r="264">
      <x:c r="A264" s="293"/>
      <x:c r="B264" s="235"/>
      <x:c r="C264" s="294"/>
      <x:c r="D264" s="294"/>
      <x:c r="E264" s="314"/>
      <x:c r="F264" s="307" t="str">
        <x:f>IF(OR(A264="",B264="",C264=""),"",SUMIFS('04_SAKERNAS_AGG'!$K$2:$K$301,'04_SAKERNAS_AGG'!$E$2:$E$301,A264,'04_SAKERNAS_AGG'!$F$2:$F$301,B264,'04_SAKERNAS_AGG'!$H$2:$H$301,C264))</x:f>
      </x:c>
      <x:c r="G264" s="307" t="str">
        <x:f>IF(OR(E264="",F264=""),"",E264*F264)</x:f>
      </x:c>
      <x:c r="H264" s="307" t="str">
        <x:f>IF(OR(A264="",B264="",G264=""),"",SUMIFS($G$2:$G$301,$A$2:$A$301,A264,$B$2:$B$301,B264))</x:f>
      </x:c>
      <x:c r="I264" s="308" t="str">
        <x:f>IFERROR(G264/H264,"")</x:f>
      </x:c>
      <x:c r="J264" s="235"/>
      <x:c r="K264" s="235"/>
      <x:c r="L264" s="235"/>
      <x:c r="M264" s="235"/>
      <x:c r="N264" s="315" t="str">
        <x:f>IF(OR(I264="",K264=""),"",100*I264*K264)</x:f>
      </x:c>
      <x:c r="O264" s="308" t="str">
        <x:f>IF(OR(I264="",M264=""),"",I264*M264)</x:f>
      </x:c>
      <x:c r="P264" s="235"/>
      <x:c r="Q264" s="235"/>
      <x:c r="R264" s="235"/>
      <x:c r="S264" s="308" t="str">
        <x:f>IF(OR(A264="",B264=""),"",SUMIFS($I$2:$I$301,$A$2:$A$301,A264,$B$2:$B$301,B264))</x:f>
      </x:c>
      <x:c r="T264" s="233" t="str">
        <x:f>IF(B264="","",IF(ABS(S264-1)&gt;0.000001,"ERROR_SHARE",IF(OR(Q264&lt;&gt;"VERIFIED",R264&lt;&gt;"VERIFIED"),"CHECK_MAPPING","OK")))</x:f>
      </x:c>
      <x:c r="U264" s="297"/>
    </x:row>
    <x:row r="265">
      <x:c r="A265" s="293"/>
      <x:c r="B265" s="235"/>
      <x:c r="C265" s="294"/>
      <x:c r="D265" s="294"/>
      <x:c r="E265" s="314"/>
      <x:c r="F265" s="307" t="str">
        <x:f>IF(OR(A265="",B265="",C265=""),"",SUMIFS('04_SAKERNAS_AGG'!$K$2:$K$301,'04_SAKERNAS_AGG'!$E$2:$E$301,A265,'04_SAKERNAS_AGG'!$F$2:$F$301,B265,'04_SAKERNAS_AGG'!$H$2:$H$301,C265))</x:f>
      </x:c>
      <x:c r="G265" s="307" t="str">
        <x:f>IF(OR(E265="",F265=""),"",E265*F265)</x:f>
      </x:c>
      <x:c r="H265" s="307" t="str">
        <x:f>IF(OR(A265="",B265="",G265=""),"",SUMIFS($G$2:$G$301,$A$2:$A$301,A265,$B$2:$B$301,B265))</x:f>
      </x:c>
      <x:c r="I265" s="308" t="str">
        <x:f>IFERROR(G265/H265,"")</x:f>
      </x:c>
      <x:c r="J265" s="235"/>
      <x:c r="K265" s="235"/>
      <x:c r="L265" s="235"/>
      <x:c r="M265" s="235"/>
      <x:c r="N265" s="315" t="str">
        <x:f>IF(OR(I265="",K265=""),"",100*I265*K265)</x:f>
      </x:c>
      <x:c r="O265" s="308" t="str">
        <x:f>IF(OR(I265="",M265=""),"",I265*M265)</x:f>
      </x:c>
      <x:c r="P265" s="235"/>
      <x:c r="Q265" s="235"/>
      <x:c r="R265" s="235"/>
      <x:c r="S265" s="308" t="str">
        <x:f>IF(OR(A265="",B265=""),"",SUMIFS($I$2:$I$301,$A$2:$A$301,A265,$B$2:$B$301,B265))</x:f>
      </x:c>
      <x:c r="T265" s="233" t="str">
        <x:f>IF(B265="","",IF(ABS(S265-1)&gt;0.000001,"ERROR_SHARE",IF(OR(Q265&lt;&gt;"VERIFIED",R265&lt;&gt;"VERIFIED"),"CHECK_MAPPING","OK")))</x:f>
      </x:c>
      <x:c r="U265" s="297"/>
    </x:row>
    <x:row r="266">
      <x:c r="A266" s="293"/>
      <x:c r="B266" s="235"/>
      <x:c r="C266" s="294"/>
      <x:c r="D266" s="294"/>
      <x:c r="E266" s="314"/>
      <x:c r="F266" s="307" t="str">
        <x:f>IF(OR(A266="",B266="",C266=""),"",SUMIFS('04_SAKERNAS_AGG'!$K$2:$K$301,'04_SAKERNAS_AGG'!$E$2:$E$301,A266,'04_SAKERNAS_AGG'!$F$2:$F$301,B266,'04_SAKERNAS_AGG'!$H$2:$H$301,C266))</x:f>
      </x:c>
      <x:c r="G266" s="307" t="str">
        <x:f>IF(OR(E266="",F266=""),"",E266*F266)</x:f>
      </x:c>
      <x:c r="H266" s="307" t="str">
        <x:f>IF(OR(A266="",B266="",G266=""),"",SUMIFS($G$2:$G$301,$A$2:$A$301,A266,$B$2:$B$301,B266))</x:f>
      </x:c>
      <x:c r="I266" s="308" t="str">
        <x:f>IFERROR(G266/H266,"")</x:f>
      </x:c>
      <x:c r="J266" s="235"/>
      <x:c r="K266" s="235"/>
      <x:c r="L266" s="235"/>
      <x:c r="M266" s="235"/>
      <x:c r="N266" s="315" t="str">
        <x:f>IF(OR(I266="",K266=""),"",100*I266*K266)</x:f>
      </x:c>
      <x:c r="O266" s="308" t="str">
        <x:f>IF(OR(I266="",M266=""),"",I266*M266)</x:f>
      </x:c>
      <x:c r="P266" s="235"/>
      <x:c r="Q266" s="235"/>
      <x:c r="R266" s="235"/>
      <x:c r="S266" s="308" t="str">
        <x:f>IF(OR(A266="",B266=""),"",SUMIFS($I$2:$I$301,$A$2:$A$301,A266,$B$2:$B$301,B266))</x:f>
      </x:c>
      <x:c r="T266" s="233" t="str">
        <x:f>IF(B266="","",IF(ABS(S266-1)&gt;0.000001,"ERROR_SHARE",IF(OR(Q266&lt;&gt;"VERIFIED",R266&lt;&gt;"VERIFIED"),"CHECK_MAPPING","OK")))</x:f>
      </x:c>
      <x:c r="U266" s="297"/>
    </x:row>
    <x:row r="267">
      <x:c r="A267" s="293"/>
      <x:c r="B267" s="235"/>
      <x:c r="C267" s="294"/>
      <x:c r="D267" s="294"/>
      <x:c r="E267" s="314"/>
      <x:c r="F267" s="307" t="str">
        <x:f>IF(OR(A267="",B267="",C267=""),"",SUMIFS('04_SAKERNAS_AGG'!$K$2:$K$301,'04_SAKERNAS_AGG'!$E$2:$E$301,A267,'04_SAKERNAS_AGG'!$F$2:$F$301,B267,'04_SAKERNAS_AGG'!$H$2:$H$301,C267))</x:f>
      </x:c>
      <x:c r="G267" s="307" t="str">
        <x:f>IF(OR(E267="",F267=""),"",E267*F267)</x:f>
      </x:c>
      <x:c r="H267" s="307" t="str">
        <x:f>IF(OR(A267="",B267="",G267=""),"",SUMIFS($G$2:$G$301,$A$2:$A$301,A267,$B$2:$B$301,B267))</x:f>
      </x:c>
      <x:c r="I267" s="308" t="str">
        <x:f>IFERROR(G267/H267,"")</x:f>
      </x:c>
      <x:c r="J267" s="235"/>
      <x:c r="K267" s="235"/>
      <x:c r="L267" s="235"/>
      <x:c r="M267" s="235"/>
      <x:c r="N267" s="315" t="str">
        <x:f>IF(OR(I267="",K267=""),"",100*I267*K267)</x:f>
      </x:c>
      <x:c r="O267" s="308" t="str">
        <x:f>IF(OR(I267="",M267=""),"",I267*M267)</x:f>
      </x:c>
      <x:c r="P267" s="235"/>
      <x:c r="Q267" s="235"/>
      <x:c r="R267" s="235"/>
      <x:c r="S267" s="308" t="str">
        <x:f>IF(OR(A267="",B267=""),"",SUMIFS($I$2:$I$301,$A$2:$A$301,A267,$B$2:$B$301,B267))</x:f>
      </x:c>
      <x:c r="T267" s="233" t="str">
        <x:f>IF(B267="","",IF(ABS(S267-1)&gt;0.000001,"ERROR_SHARE",IF(OR(Q267&lt;&gt;"VERIFIED",R267&lt;&gt;"VERIFIED"),"CHECK_MAPPING","OK")))</x:f>
      </x:c>
      <x:c r="U267" s="297"/>
    </x:row>
    <x:row r="268">
      <x:c r="A268" s="293"/>
      <x:c r="B268" s="235"/>
      <x:c r="C268" s="294"/>
      <x:c r="D268" s="294"/>
      <x:c r="E268" s="314"/>
      <x:c r="F268" s="307" t="str">
        <x:f>IF(OR(A268="",B268="",C268=""),"",SUMIFS('04_SAKERNAS_AGG'!$K$2:$K$301,'04_SAKERNAS_AGG'!$E$2:$E$301,A268,'04_SAKERNAS_AGG'!$F$2:$F$301,B268,'04_SAKERNAS_AGG'!$H$2:$H$301,C268))</x:f>
      </x:c>
      <x:c r="G268" s="307" t="str">
        <x:f>IF(OR(E268="",F268=""),"",E268*F268)</x:f>
      </x:c>
      <x:c r="H268" s="307" t="str">
        <x:f>IF(OR(A268="",B268="",G268=""),"",SUMIFS($G$2:$G$301,$A$2:$A$301,A268,$B$2:$B$301,B268))</x:f>
      </x:c>
      <x:c r="I268" s="308" t="str">
        <x:f>IFERROR(G268/H268,"")</x:f>
      </x:c>
      <x:c r="J268" s="235"/>
      <x:c r="K268" s="235"/>
      <x:c r="L268" s="235"/>
      <x:c r="M268" s="235"/>
      <x:c r="N268" s="315" t="str">
        <x:f>IF(OR(I268="",K268=""),"",100*I268*K268)</x:f>
      </x:c>
      <x:c r="O268" s="308" t="str">
        <x:f>IF(OR(I268="",M268=""),"",I268*M268)</x:f>
      </x:c>
      <x:c r="P268" s="235"/>
      <x:c r="Q268" s="235"/>
      <x:c r="R268" s="235"/>
      <x:c r="S268" s="308" t="str">
        <x:f>IF(OR(A268="",B268=""),"",SUMIFS($I$2:$I$301,$A$2:$A$301,A268,$B$2:$B$301,B268))</x:f>
      </x:c>
      <x:c r="T268" s="233" t="str">
        <x:f>IF(B268="","",IF(ABS(S268-1)&gt;0.000001,"ERROR_SHARE",IF(OR(Q268&lt;&gt;"VERIFIED",R268&lt;&gt;"VERIFIED"),"CHECK_MAPPING","OK")))</x:f>
      </x:c>
      <x:c r="U268" s="297"/>
    </x:row>
    <x:row r="269">
      <x:c r="A269" s="293"/>
      <x:c r="B269" s="235"/>
      <x:c r="C269" s="294"/>
      <x:c r="D269" s="294"/>
      <x:c r="E269" s="314"/>
      <x:c r="F269" s="307" t="str">
        <x:f>IF(OR(A269="",B269="",C269=""),"",SUMIFS('04_SAKERNAS_AGG'!$K$2:$K$301,'04_SAKERNAS_AGG'!$E$2:$E$301,A269,'04_SAKERNAS_AGG'!$F$2:$F$301,B269,'04_SAKERNAS_AGG'!$H$2:$H$301,C269))</x:f>
      </x:c>
      <x:c r="G269" s="307" t="str">
        <x:f>IF(OR(E269="",F269=""),"",E269*F269)</x:f>
      </x:c>
      <x:c r="H269" s="307" t="str">
        <x:f>IF(OR(A269="",B269="",G269=""),"",SUMIFS($G$2:$G$301,$A$2:$A$301,A269,$B$2:$B$301,B269))</x:f>
      </x:c>
      <x:c r="I269" s="308" t="str">
        <x:f>IFERROR(G269/H269,"")</x:f>
      </x:c>
      <x:c r="J269" s="235"/>
      <x:c r="K269" s="235"/>
      <x:c r="L269" s="235"/>
      <x:c r="M269" s="235"/>
      <x:c r="N269" s="315" t="str">
        <x:f>IF(OR(I269="",K269=""),"",100*I269*K269)</x:f>
      </x:c>
      <x:c r="O269" s="308" t="str">
        <x:f>IF(OR(I269="",M269=""),"",I269*M269)</x:f>
      </x:c>
      <x:c r="P269" s="235"/>
      <x:c r="Q269" s="235"/>
      <x:c r="R269" s="235"/>
      <x:c r="S269" s="308" t="str">
        <x:f>IF(OR(A269="",B269=""),"",SUMIFS($I$2:$I$301,$A$2:$A$301,A269,$B$2:$B$301,B269))</x:f>
      </x:c>
      <x:c r="T269" s="233" t="str">
        <x:f>IF(B269="","",IF(ABS(S269-1)&gt;0.000001,"ERROR_SHARE",IF(OR(Q269&lt;&gt;"VERIFIED",R269&lt;&gt;"VERIFIED"),"CHECK_MAPPING","OK")))</x:f>
      </x:c>
      <x:c r="U269" s="297"/>
    </x:row>
    <x:row r="270">
      <x:c r="A270" s="293"/>
      <x:c r="B270" s="235"/>
      <x:c r="C270" s="294"/>
      <x:c r="D270" s="294"/>
      <x:c r="E270" s="314"/>
      <x:c r="F270" s="307" t="str">
        <x:f>IF(OR(A270="",B270="",C270=""),"",SUMIFS('04_SAKERNAS_AGG'!$K$2:$K$301,'04_SAKERNAS_AGG'!$E$2:$E$301,A270,'04_SAKERNAS_AGG'!$F$2:$F$301,B270,'04_SAKERNAS_AGG'!$H$2:$H$301,C270))</x:f>
      </x:c>
      <x:c r="G270" s="307" t="str">
        <x:f>IF(OR(E270="",F270=""),"",E270*F270)</x:f>
      </x:c>
      <x:c r="H270" s="307" t="str">
        <x:f>IF(OR(A270="",B270="",G270=""),"",SUMIFS($G$2:$G$301,$A$2:$A$301,A270,$B$2:$B$301,B270))</x:f>
      </x:c>
      <x:c r="I270" s="308" t="str">
        <x:f>IFERROR(G270/H270,"")</x:f>
      </x:c>
      <x:c r="J270" s="235"/>
      <x:c r="K270" s="235"/>
      <x:c r="L270" s="235"/>
      <x:c r="M270" s="235"/>
      <x:c r="N270" s="315" t="str">
        <x:f>IF(OR(I270="",K270=""),"",100*I270*K270)</x:f>
      </x:c>
      <x:c r="O270" s="308" t="str">
        <x:f>IF(OR(I270="",M270=""),"",I270*M270)</x:f>
      </x:c>
      <x:c r="P270" s="235"/>
      <x:c r="Q270" s="235"/>
      <x:c r="R270" s="235"/>
      <x:c r="S270" s="308" t="str">
        <x:f>IF(OR(A270="",B270=""),"",SUMIFS($I$2:$I$301,$A$2:$A$301,A270,$B$2:$B$301,B270))</x:f>
      </x:c>
      <x:c r="T270" s="233" t="str">
        <x:f>IF(B270="","",IF(ABS(S270-1)&gt;0.000001,"ERROR_SHARE",IF(OR(Q270&lt;&gt;"VERIFIED",R270&lt;&gt;"VERIFIED"),"CHECK_MAPPING","OK")))</x:f>
      </x:c>
      <x:c r="U270" s="297"/>
    </x:row>
    <x:row r="271">
      <x:c r="A271" s="293"/>
      <x:c r="B271" s="235"/>
      <x:c r="C271" s="294"/>
      <x:c r="D271" s="294"/>
      <x:c r="E271" s="314"/>
      <x:c r="F271" s="307" t="str">
        <x:f>IF(OR(A271="",B271="",C271=""),"",SUMIFS('04_SAKERNAS_AGG'!$K$2:$K$301,'04_SAKERNAS_AGG'!$E$2:$E$301,A271,'04_SAKERNAS_AGG'!$F$2:$F$301,B271,'04_SAKERNAS_AGG'!$H$2:$H$301,C271))</x:f>
      </x:c>
      <x:c r="G271" s="307" t="str">
        <x:f>IF(OR(E271="",F271=""),"",E271*F271)</x:f>
      </x:c>
      <x:c r="H271" s="307" t="str">
        <x:f>IF(OR(A271="",B271="",G271=""),"",SUMIFS($G$2:$G$301,$A$2:$A$301,A271,$B$2:$B$301,B271))</x:f>
      </x:c>
      <x:c r="I271" s="308" t="str">
        <x:f>IFERROR(G271/H271,"")</x:f>
      </x:c>
      <x:c r="J271" s="235"/>
      <x:c r="K271" s="235"/>
      <x:c r="L271" s="235"/>
      <x:c r="M271" s="235"/>
      <x:c r="N271" s="315" t="str">
        <x:f>IF(OR(I271="",K271=""),"",100*I271*K271)</x:f>
      </x:c>
      <x:c r="O271" s="308" t="str">
        <x:f>IF(OR(I271="",M271=""),"",I271*M271)</x:f>
      </x:c>
      <x:c r="P271" s="235"/>
      <x:c r="Q271" s="235"/>
      <x:c r="R271" s="235"/>
      <x:c r="S271" s="308" t="str">
        <x:f>IF(OR(A271="",B271=""),"",SUMIFS($I$2:$I$301,$A$2:$A$301,A271,$B$2:$B$301,B271))</x:f>
      </x:c>
      <x:c r="T271" s="233" t="str">
        <x:f>IF(B271="","",IF(ABS(S271-1)&gt;0.000001,"ERROR_SHARE",IF(OR(Q271&lt;&gt;"VERIFIED",R271&lt;&gt;"VERIFIED"),"CHECK_MAPPING","OK")))</x:f>
      </x:c>
      <x:c r="U271" s="297"/>
    </x:row>
    <x:row r="272">
      <x:c r="A272" s="293"/>
      <x:c r="B272" s="235"/>
      <x:c r="C272" s="294"/>
      <x:c r="D272" s="294"/>
      <x:c r="E272" s="314"/>
      <x:c r="F272" s="307" t="str">
        <x:f>IF(OR(A272="",B272="",C272=""),"",SUMIFS('04_SAKERNAS_AGG'!$K$2:$K$301,'04_SAKERNAS_AGG'!$E$2:$E$301,A272,'04_SAKERNAS_AGG'!$F$2:$F$301,B272,'04_SAKERNAS_AGG'!$H$2:$H$301,C272))</x:f>
      </x:c>
      <x:c r="G272" s="307" t="str">
        <x:f>IF(OR(E272="",F272=""),"",E272*F272)</x:f>
      </x:c>
      <x:c r="H272" s="307" t="str">
        <x:f>IF(OR(A272="",B272="",G272=""),"",SUMIFS($G$2:$G$301,$A$2:$A$301,A272,$B$2:$B$301,B272))</x:f>
      </x:c>
      <x:c r="I272" s="308" t="str">
        <x:f>IFERROR(G272/H272,"")</x:f>
      </x:c>
      <x:c r="J272" s="235"/>
      <x:c r="K272" s="235"/>
      <x:c r="L272" s="235"/>
      <x:c r="M272" s="235"/>
      <x:c r="N272" s="315" t="str">
        <x:f>IF(OR(I272="",K272=""),"",100*I272*K272)</x:f>
      </x:c>
      <x:c r="O272" s="308" t="str">
        <x:f>IF(OR(I272="",M272=""),"",I272*M272)</x:f>
      </x:c>
      <x:c r="P272" s="235"/>
      <x:c r="Q272" s="235"/>
      <x:c r="R272" s="235"/>
      <x:c r="S272" s="308" t="str">
        <x:f>IF(OR(A272="",B272=""),"",SUMIFS($I$2:$I$301,$A$2:$A$301,A272,$B$2:$B$301,B272))</x:f>
      </x:c>
      <x:c r="T272" s="233" t="str">
        <x:f>IF(B272="","",IF(ABS(S272-1)&gt;0.000001,"ERROR_SHARE",IF(OR(Q272&lt;&gt;"VERIFIED",R272&lt;&gt;"VERIFIED"),"CHECK_MAPPING","OK")))</x:f>
      </x:c>
      <x:c r="U272" s="297"/>
    </x:row>
    <x:row r="273">
      <x:c r="A273" s="293"/>
      <x:c r="B273" s="235"/>
      <x:c r="C273" s="294"/>
      <x:c r="D273" s="294"/>
      <x:c r="E273" s="314"/>
      <x:c r="F273" s="307" t="str">
        <x:f>IF(OR(A273="",B273="",C273=""),"",SUMIFS('04_SAKERNAS_AGG'!$K$2:$K$301,'04_SAKERNAS_AGG'!$E$2:$E$301,A273,'04_SAKERNAS_AGG'!$F$2:$F$301,B273,'04_SAKERNAS_AGG'!$H$2:$H$301,C273))</x:f>
      </x:c>
      <x:c r="G273" s="307" t="str">
        <x:f>IF(OR(E273="",F273=""),"",E273*F273)</x:f>
      </x:c>
      <x:c r="H273" s="307" t="str">
        <x:f>IF(OR(A273="",B273="",G273=""),"",SUMIFS($G$2:$G$301,$A$2:$A$301,A273,$B$2:$B$301,B273))</x:f>
      </x:c>
      <x:c r="I273" s="308" t="str">
        <x:f>IFERROR(G273/H273,"")</x:f>
      </x:c>
      <x:c r="J273" s="235"/>
      <x:c r="K273" s="235"/>
      <x:c r="L273" s="235"/>
      <x:c r="M273" s="235"/>
      <x:c r="N273" s="315" t="str">
        <x:f>IF(OR(I273="",K273=""),"",100*I273*K273)</x:f>
      </x:c>
      <x:c r="O273" s="308" t="str">
        <x:f>IF(OR(I273="",M273=""),"",I273*M273)</x:f>
      </x:c>
      <x:c r="P273" s="235"/>
      <x:c r="Q273" s="235"/>
      <x:c r="R273" s="235"/>
      <x:c r="S273" s="308" t="str">
        <x:f>IF(OR(A273="",B273=""),"",SUMIFS($I$2:$I$301,$A$2:$A$301,A273,$B$2:$B$301,B273))</x:f>
      </x:c>
      <x:c r="T273" s="233" t="str">
        <x:f>IF(B273="","",IF(ABS(S273-1)&gt;0.000001,"ERROR_SHARE",IF(OR(Q273&lt;&gt;"VERIFIED",R273&lt;&gt;"VERIFIED"),"CHECK_MAPPING","OK")))</x:f>
      </x:c>
      <x:c r="U273" s="297"/>
    </x:row>
    <x:row r="274">
      <x:c r="A274" s="293"/>
      <x:c r="B274" s="235"/>
      <x:c r="C274" s="294"/>
      <x:c r="D274" s="294"/>
      <x:c r="E274" s="314"/>
      <x:c r="F274" s="307" t="str">
        <x:f>IF(OR(A274="",B274="",C274=""),"",SUMIFS('04_SAKERNAS_AGG'!$K$2:$K$301,'04_SAKERNAS_AGG'!$E$2:$E$301,A274,'04_SAKERNAS_AGG'!$F$2:$F$301,B274,'04_SAKERNAS_AGG'!$H$2:$H$301,C274))</x:f>
      </x:c>
      <x:c r="G274" s="307" t="str">
        <x:f>IF(OR(E274="",F274=""),"",E274*F274)</x:f>
      </x:c>
      <x:c r="H274" s="307" t="str">
        <x:f>IF(OR(A274="",B274="",G274=""),"",SUMIFS($G$2:$G$301,$A$2:$A$301,A274,$B$2:$B$301,B274))</x:f>
      </x:c>
      <x:c r="I274" s="308" t="str">
        <x:f>IFERROR(G274/H274,"")</x:f>
      </x:c>
      <x:c r="J274" s="235"/>
      <x:c r="K274" s="235"/>
      <x:c r="L274" s="235"/>
      <x:c r="M274" s="235"/>
      <x:c r="N274" s="315" t="str">
        <x:f>IF(OR(I274="",K274=""),"",100*I274*K274)</x:f>
      </x:c>
      <x:c r="O274" s="308" t="str">
        <x:f>IF(OR(I274="",M274=""),"",I274*M274)</x:f>
      </x:c>
      <x:c r="P274" s="235"/>
      <x:c r="Q274" s="235"/>
      <x:c r="R274" s="235"/>
      <x:c r="S274" s="308" t="str">
        <x:f>IF(OR(A274="",B274=""),"",SUMIFS($I$2:$I$301,$A$2:$A$301,A274,$B$2:$B$301,B274))</x:f>
      </x:c>
      <x:c r="T274" s="233" t="str">
        <x:f>IF(B274="","",IF(ABS(S274-1)&gt;0.000001,"ERROR_SHARE",IF(OR(Q274&lt;&gt;"VERIFIED",R274&lt;&gt;"VERIFIED"),"CHECK_MAPPING","OK")))</x:f>
      </x:c>
      <x:c r="U274" s="297"/>
    </x:row>
    <x:row r="275">
      <x:c r="A275" s="293"/>
      <x:c r="B275" s="235"/>
      <x:c r="C275" s="294"/>
      <x:c r="D275" s="294"/>
      <x:c r="E275" s="314"/>
      <x:c r="F275" s="307" t="str">
        <x:f>IF(OR(A275="",B275="",C275=""),"",SUMIFS('04_SAKERNAS_AGG'!$K$2:$K$301,'04_SAKERNAS_AGG'!$E$2:$E$301,A275,'04_SAKERNAS_AGG'!$F$2:$F$301,B275,'04_SAKERNAS_AGG'!$H$2:$H$301,C275))</x:f>
      </x:c>
      <x:c r="G275" s="307" t="str">
        <x:f>IF(OR(E275="",F275=""),"",E275*F275)</x:f>
      </x:c>
      <x:c r="H275" s="307" t="str">
        <x:f>IF(OR(A275="",B275="",G275=""),"",SUMIFS($G$2:$G$301,$A$2:$A$301,A275,$B$2:$B$301,B275))</x:f>
      </x:c>
      <x:c r="I275" s="308" t="str">
        <x:f>IFERROR(G275/H275,"")</x:f>
      </x:c>
      <x:c r="J275" s="235"/>
      <x:c r="K275" s="235"/>
      <x:c r="L275" s="235"/>
      <x:c r="M275" s="235"/>
      <x:c r="N275" s="315" t="str">
        <x:f>IF(OR(I275="",K275=""),"",100*I275*K275)</x:f>
      </x:c>
      <x:c r="O275" s="308" t="str">
        <x:f>IF(OR(I275="",M275=""),"",I275*M275)</x:f>
      </x:c>
      <x:c r="P275" s="235"/>
      <x:c r="Q275" s="235"/>
      <x:c r="R275" s="235"/>
      <x:c r="S275" s="308" t="str">
        <x:f>IF(OR(A275="",B275=""),"",SUMIFS($I$2:$I$301,$A$2:$A$301,A275,$B$2:$B$301,B275))</x:f>
      </x:c>
      <x:c r="T275" s="233" t="str">
        <x:f>IF(B275="","",IF(ABS(S275-1)&gt;0.000001,"ERROR_SHARE",IF(OR(Q275&lt;&gt;"VERIFIED",R275&lt;&gt;"VERIFIED"),"CHECK_MAPPING","OK")))</x:f>
      </x:c>
      <x:c r="U275" s="297"/>
    </x:row>
    <x:row r="276">
      <x:c r="A276" s="293"/>
      <x:c r="B276" s="235"/>
      <x:c r="C276" s="294"/>
      <x:c r="D276" s="294"/>
      <x:c r="E276" s="314"/>
      <x:c r="F276" s="307" t="str">
        <x:f>IF(OR(A276="",B276="",C276=""),"",SUMIFS('04_SAKERNAS_AGG'!$K$2:$K$301,'04_SAKERNAS_AGG'!$E$2:$E$301,A276,'04_SAKERNAS_AGG'!$F$2:$F$301,B276,'04_SAKERNAS_AGG'!$H$2:$H$301,C276))</x:f>
      </x:c>
      <x:c r="G276" s="307" t="str">
        <x:f>IF(OR(E276="",F276=""),"",E276*F276)</x:f>
      </x:c>
      <x:c r="H276" s="307" t="str">
        <x:f>IF(OR(A276="",B276="",G276=""),"",SUMIFS($G$2:$G$301,$A$2:$A$301,A276,$B$2:$B$301,B276))</x:f>
      </x:c>
      <x:c r="I276" s="308" t="str">
        <x:f>IFERROR(G276/H276,"")</x:f>
      </x:c>
      <x:c r="J276" s="235"/>
      <x:c r="K276" s="235"/>
      <x:c r="L276" s="235"/>
      <x:c r="M276" s="235"/>
      <x:c r="N276" s="315" t="str">
        <x:f>IF(OR(I276="",K276=""),"",100*I276*K276)</x:f>
      </x:c>
      <x:c r="O276" s="308" t="str">
        <x:f>IF(OR(I276="",M276=""),"",I276*M276)</x:f>
      </x:c>
      <x:c r="P276" s="235"/>
      <x:c r="Q276" s="235"/>
      <x:c r="R276" s="235"/>
      <x:c r="S276" s="308" t="str">
        <x:f>IF(OR(A276="",B276=""),"",SUMIFS($I$2:$I$301,$A$2:$A$301,A276,$B$2:$B$301,B276))</x:f>
      </x:c>
      <x:c r="T276" s="233" t="str">
        <x:f>IF(B276="","",IF(ABS(S276-1)&gt;0.000001,"ERROR_SHARE",IF(OR(Q276&lt;&gt;"VERIFIED",R276&lt;&gt;"VERIFIED"),"CHECK_MAPPING","OK")))</x:f>
      </x:c>
      <x:c r="U276" s="297"/>
    </x:row>
    <x:row r="277">
      <x:c r="A277" s="293"/>
      <x:c r="B277" s="235"/>
      <x:c r="C277" s="294"/>
      <x:c r="D277" s="294"/>
      <x:c r="E277" s="314"/>
      <x:c r="F277" s="307" t="str">
        <x:f>IF(OR(A277="",B277="",C277=""),"",SUMIFS('04_SAKERNAS_AGG'!$K$2:$K$301,'04_SAKERNAS_AGG'!$E$2:$E$301,A277,'04_SAKERNAS_AGG'!$F$2:$F$301,B277,'04_SAKERNAS_AGG'!$H$2:$H$301,C277))</x:f>
      </x:c>
      <x:c r="G277" s="307" t="str">
        <x:f>IF(OR(E277="",F277=""),"",E277*F277)</x:f>
      </x:c>
      <x:c r="H277" s="307" t="str">
        <x:f>IF(OR(A277="",B277="",G277=""),"",SUMIFS($G$2:$G$301,$A$2:$A$301,A277,$B$2:$B$301,B277))</x:f>
      </x:c>
      <x:c r="I277" s="308" t="str">
        <x:f>IFERROR(G277/H277,"")</x:f>
      </x:c>
      <x:c r="J277" s="235"/>
      <x:c r="K277" s="235"/>
      <x:c r="L277" s="235"/>
      <x:c r="M277" s="235"/>
      <x:c r="N277" s="315" t="str">
        <x:f>IF(OR(I277="",K277=""),"",100*I277*K277)</x:f>
      </x:c>
      <x:c r="O277" s="308" t="str">
        <x:f>IF(OR(I277="",M277=""),"",I277*M277)</x:f>
      </x:c>
      <x:c r="P277" s="235"/>
      <x:c r="Q277" s="235"/>
      <x:c r="R277" s="235"/>
      <x:c r="S277" s="308" t="str">
        <x:f>IF(OR(A277="",B277=""),"",SUMIFS($I$2:$I$301,$A$2:$A$301,A277,$B$2:$B$301,B277))</x:f>
      </x:c>
      <x:c r="T277" s="233" t="str">
        <x:f>IF(B277="","",IF(ABS(S277-1)&gt;0.000001,"ERROR_SHARE",IF(OR(Q277&lt;&gt;"VERIFIED",R277&lt;&gt;"VERIFIED"),"CHECK_MAPPING","OK")))</x:f>
      </x:c>
      <x:c r="U277" s="297"/>
    </x:row>
    <x:row r="278">
      <x:c r="A278" s="293"/>
      <x:c r="B278" s="235"/>
      <x:c r="C278" s="294"/>
      <x:c r="D278" s="294"/>
      <x:c r="E278" s="314"/>
      <x:c r="F278" s="307" t="str">
        <x:f>IF(OR(A278="",B278="",C278=""),"",SUMIFS('04_SAKERNAS_AGG'!$K$2:$K$301,'04_SAKERNAS_AGG'!$E$2:$E$301,A278,'04_SAKERNAS_AGG'!$F$2:$F$301,B278,'04_SAKERNAS_AGG'!$H$2:$H$301,C278))</x:f>
      </x:c>
      <x:c r="G278" s="307" t="str">
        <x:f>IF(OR(E278="",F278=""),"",E278*F278)</x:f>
      </x:c>
      <x:c r="H278" s="307" t="str">
        <x:f>IF(OR(A278="",B278="",G278=""),"",SUMIFS($G$2:$G$301,$A$2:$A$301,A278,$B$2:$B$301,B278))</x:f>
      </x:c>
      <x:c r="I278" s="308" t="str">
        <x:f>IFERROR(G278/H278,"")</x:f>
      </x:c>
      <x:c r="J278" s="235"/>
      <x:c r="K278" s="235"/>
      <x:c r="L278" s="235"/>
      <x:c r="M278" s="235"/>
      <x:c r="N278" s="315" t="str">
        <x:f>IF(OR(I278="",K278=""),"",100*I278*K278)</x:f>
      </x:c>
      <x:c r="O278" s="308" t="str">
        <x:f>IF(OR(I278="",M278=""),"",I278*M278)</x:f>
      </x:c>
      <x:c r="P278" s="235"/>
      <x:c r="Q278" s="235"/>
      <x:c r="R278" s="235"/>
      <x:c r="S278" s="308" t="str">
        <x:f>IF(OR(A278="",B278=""),"",SUMIFS($I$2:$I$301,$A$2:$A$301,A278,$B$2:$B$301,B278))</x:f>
      </x:c>
      <x:c r="T278" s="233" t="str">
        <x:f>IF(B278="","",IF(ABS(S278-1)&gt;0.000001,"ERROR_SHARE",IF(OR(Q278&lt;&gt;"VERIFIED",R278&lt;&gt;"VERIFIED"),"CHECK_MAPPING","OK")))</x:f>
      </x:c>
      <x:c r="U278" s="297"/>
    </x:row>
    <x:row r="279">
      <x:c r="A279" s="293"/>
      <x:c r="B279" s="235"/>
      <x:c r="C279" s="294"/>
      <x:c r="D279" s="294"/>
      <x:c r="E279" s="314"/>
      <x:c r="F279" s="307" t="str">
        <x:f>IF(OR(A279="",B279="",C279=""),"",SUMIFS('04_SAKERNAS_AGG'!$K$2:$K$301,'04_SAKERNAS_AGG'!$E$2:$E$301,A279,'04_SAKERNAS_AGG'!$F$2:$F$301,B279,'04_SAKERNAS_AGG'!$H$2:$H$301,C279))</x:f>
      </x:c>
      <x:c r="G279" s="307" t="str">
        <x:f>IF(OR(E279="",F279=""),"",E279*F279)</x:f>
      </x:c>
      <x:c r="H279" s="307" t="str">
        <x:f>IF(OR(A279="",B279="",G279=""),"",SUMIFS($G$2:$G$301,$A$2:$A$301,A279,$B$2:$B$301,B279))</x:f>
      </x:c>
      <x:c r="I279" s="308" t="str">
        <x:f>IFERROR(G279/H279,"")</x:f>
      </x:c>
      <x:c r="J279" s="235"/>
      <x:c r="K279" s="235"/>
      <x:c r="L279" s="235"/>
      <x:c r="M279" s="235"/>
      <x:c r="N279" s="315" t="str">
        <x:f>IF(OR(I279="",K279=""),"",100*I279*K279)</x:f>
      </x:c>
      <x:c r="O279" s="308" t="str">
        <x:f>IF(OR(I279="",M279=""),"",I279*M279)</x:f>
      </x:c>
      <x:c r="P279" s="235"/>
      <x:c r="Q279" s="235"/>
      <x:c r="R279" s="235"/>
      <x:c r="S279" s="308" t="str">
        <x:f>IF(OR(A279="",B279=""),"",SUMIFS($I$2:$I$301,$A$2:$A$301,A279,$B$2:$B$301,B279))</x:f>
      </x:c>
      <x:c r="T279" s="233" t="str">
        <x:f>IF(B279="","",IF(ABS(S279-1)&gt;0.000001,"ERROR_SHARE",IF(OR(Q279&lt;&gt;"VERIFIED",R279&lt;&gt;"VERIFIED"),"CHECK_MAPPING","OK")))</x:f>
      </x:c>
      <x:c r="U279" s="297"/>
    </x:row>
    <x:row r="280">
      <x:c r="A280" s="293"/>
      <x:c r="B280" s="235"/>
      <x:c r="C280" s="294"/>
      <x:c r="D280" s="294"/>
      <x:c r="E280" s="314"/>
      <x:c r="F280" s="307" t="str">
        <x:f>IF(OR(A280="",B280="",C280=""),"",SUMIFS('04_SAKERNAS_AGG'!$K$2:$K$301,'04_SAKERNAS_AGG'!$E$2:$E$301,A280,'04_SAKERNAS_AGG'!$F$2:$F$301,B280,'04_SAKERNAS_AGG'!$H$2:$H$301,C280))</x:f>
      </x:c>
      <x:c r="G280" s="307" t="str">
        <x:f>IF(OR(E280="",F280=""),"",E280*F280)</x:f>
      </x:c>
      <x:c r="H280" s="307" t="str">
        <x:f>IF(OR(A280="",B280="",G280=""),"",SUMIFS($G$2:$G$301,$A$2:$A$301,A280,$B$2:$B$301,B280))</x:f>
      </x:c>
      <x:c r="I280" s="308" t="str">
        <x:f>IFERROR(G280/H280,"")</x:f>
      </x:c>
      <x:c r="J280" s="235"/>
      <x:c r="K280" s="235"/>
      <x:c r="L280" s="235"/>
      <x:c r="M280" s="235"/>
      <x:c r="N280" s="315" t="str">
        <x:f>IF(OR(I280="",K280=""),"",100*I280*K280)</x:f>
      </x:c>
      <x:c r="O280" s="308" t="str">
        <x:f>IF(OR(I280="",M280=""),"",I280*M280)</x:f>
      </x:c>
      <x:c r="P280" s="235"/>
      <x:c r="Q280" s="235"/>
      <x:c r="R280" s="235"/>
      <x:c r="S280" s="308" t="str">
        <x:f>IF(OR(A280="",B280=""),"",SUMIFS($I$2:$I$301,$A$2:$A$301,A280,$B$2:$B$301,B280))</x:f>
      </x:c>
      <x:c r="T280" s="233" t="str">
        <x:f>IF(B280="","",IF(ABS(S280-1)&gt;0.000001,"ERROR_SHARE",IF(OR(Q280&lt;&gt;"VERIFIED",R280&lt;&gt;"VERIFIED"),"CHECK_MAPPING","OK")))</x:f>
      </x:c>
      <x:c r="U280" s="297"/>
    </x:row>
    <x:row r="281">
      <x:c r="A281" s="293"/>
      <x:c r="B281" s="235"/>
      <x:c r="C281" s="294"/>
      <x:c r="D281" s="294"/>
      <x:c r="E281" s="314"/>
      <x:c r="F281" s="307" t="str">
        <x:f>IF(OR(A281="",B281="",C281=""),"",SUMIFS('04_SAKERNAS_AGG'!$K$2:$K$301,'04_SAKERNAS_AGG'!$E$2:$E$301,A281,'04_SAKERNAS_AGG'!$F$2:$F$301,B281,'04_SAKERNAS_AGG'!$H$2:$H$301,C281))</x:f>
      </x:c>
      <x:c r="G281" s="307" t="str">
        <x:f>IF(OR(E281="",F281=""),"",E281*F281)</x:f>
      </x:c>
      <x:c r="H281" s="307" t="str">
        <x:f>IF(OR(A281="",B281="",G281=""),"",SUMIFS($G$2:$G$301,$A$2:$A$301,A281,$B$2:$B$301,B281))</x:f>
      </x:c>
      <x:c r="I281" s="308" t="str">
        <x:f>IFERROR(G281/H281,"")</x:f>
      </x:c>
      <x:c r="J281" s="235"/>
      <x:c r="K281" s="235"/>
      <x:c r="L281" s="235"/>
      <x:c r="M281" s="235"/>
      <x:c r="N281" s="315" t="str">
        <x:f>IF(OR(I281="",K281=""),"",100*I281*K281)</x:f>
      </x:c>
      <x:c r="O281" s="308" t="str">
        <x:f>IF(OR(I281="",M281=""),"",I281*M281)</x:f>
      </x:c>
      <x:c r="P281" s="235"/>
      <x:c r="Q281" s="235"/>
      <x:c r="R281" s="235"/>
      <x:c r="S281" s="308" t="str">
        <x:f>IF(OR(A281="",B281=""),"",SUMIFS($I$2:$I$301,$A$2:$A$301,A281,$B$2:$B$301,B281))</x:f>
      </x:c>
      <x:c r="T281" s="233" t="str">
        <x:f>IF(B281="","",IF(ABS(S281-1)&gt;0.000001,"ERROR_SHARE",IF(OR(Q281&lt;&gt;"VERIFIED",R281&lt;&gt;"VERIFIED"),"CHECK_MAPPING","OK")))</x:f>
      </x:c>
      <x:c r="U281" s="297"/>
    </x:row>
    <x:row r="282">
      <x:c r="A282" s="293"/>
      <x:c r="B282" s="235"/>
      <x:c r="C282" s="294"/>
      <x:c r="D282" s="294"/>
      <x:c r="E282" s="314"/>
      <x:c r="F282" s="307" t="str">
        <x:f>IF(OR(A282="",B282="",C282=""),"",SUMIFS('04_SAKERNAS_AGG'!$K$2:$K$301,'04_SAKERNAS_AGG'!$E$2:$E$301,A282,'04_SAKERNAS_AGG'!$F$2:$F$301,B282,'04_SAKERNAS_AGG'!$H$2:$H$301,C282))</x:f>
      </x:c>
      <x:c r="G282" s="307" t="str">
        <x:f>IF(OR(E282="",F282=""),"",E282*F282)</x:f>
      </x:c>
      <x:c r="H282" s="307" t="str">
        <x:f>IF(OR(A282="",B282="",G282=""),"",SUMIFS($G$2:$G$301,$A$2:$A$301,A282,$B$2:$B$301,B282))</x:f>
      </x:c>
      <x:c r="I282" s="308" t="str">
        <x:f>IFERROR(G282/H282,"")</x:f>
      </x:c>
      <x:c r="J282" s="235"/>
      <x:c r="K282" s="235"/>
      <x:c r="L282" s="235"/>
      <x:c r="M282" s="235"/>
      <x:c r="N282" s="315" t="str">
        <x:f>IF(OR(I282="",K282=""),"",100*I282*K282)</x:f>
      </x:c>
      <x:c r="O282" s="308" t="str">
        <x:f>IF(OR(I282="",M282=""),"",I282*M282)</x:f>
      </x:c>
      <x:c r="P282" s="235"/>
      <x:c r="Q282" s="235"/>
      <x:c r="R282" s="235"/>
      <x:c r="S282" s="308" t="str">
        <x:f>IF(OR(A282="",B282=""),"",SUMIFS($I$2:$I$301,$A$2:$A$301,A282,$B$2:$B$301,B282))</x:f>
      </x:c>
      <x:c r="T282" s="233" t="str">
        <x:f>IF(B282="","",IF(ABS(S282-1)&gt;0.000001,"ERROR_SHARE",IF(OR(Q282&lt;&gt;"VERIFIED",R282&lt;&gt;"VERIFIED"),"CHECK_MAPPING","OK")))</x:f>
      </x:c>
      <x:c r="U282" s="297"/>
    </x:row>
    <x:row r="283">
      <x:c r="A283" s="293"/>
      <x:c r="B283" s="235"/>
      <x:c r="C283" s="294"/>
      <x:c r="D283" s="294"/>
      <x:c r="E283" s="314"/>
      <x:c r="F283" s="307" t="str">
        <x:f>IF(OR(A283="",B283="",C283=""),"",SUMIFS('04_SAKERNAS_AGG'!$K$2:$K$301,'04_SAKERNAS_AGG'!$E$2:$E$301,A283,'04_SAKERNAS_AGG'!$F$2:$F$301,B283,'04_SAKERNAS_AGG'!$H$2:$H$301,C283))</x:f>
      </x:c>
      <x:c r="G283" s="307" t="str">
        <x:f>IF(OR(E283="",F283=""),"",E283*F283)</x:f>
      </x:c>
      <x:c r="H283" s="307" t="str">
        <x:f>IF(OR(A283="",B283="",G283=""),"",SUMIFS($G$2:$G$301,$A$2:$A$301,A283,$B$2:$B$301,B283))</x:f>
      </x:c>
      <x:c r="I283" s="308" t="str">
        <x:f>IFERROR(G283/H283,"")</x:f>
      </x:c>
      <x:c r="J283" s="235"/>
      <x:c r="K283" s="235"/>
      <x:c r="L283" s="235"/>
      <x:c r="M283" s="235"/>
      <x:c r="N283" s="315" t="str">
        <x:f>IF(OR(I283="",K283=""),"",100*I283*K283)</x:f>
      </x:c>
      <x:c r="O283" s="308" t="str">
        <x:f>IF(OR(I283="",M283=""),"",I283*M283)</x:f>
      </x:c>
      <x:c r="P283" s="235"/>
      <x:c r="Q283" s="235"/>
      <x:c r="R283" s="235"/>
      <x:c r="S283" s="308" t="str">
        <x:f>IF(OR(A283="",B283=""),"",SUMIFS($I$2:$I$301,$A$2:$A$301,A283,$B$2:$B$301,B283))</x:f>
      </x:c>
      <x:c r="T283" s="233" t="str">
        <x:f>IF(B283="","",IF(ABS(S283-1)&gt;0.000001,"ERROR_SHARE",IF(OR(Q283&lt;&gt;"VERIFIED",R283&lt;&gt;"VERIFIED"),"CHECK_MAPPING","OK")))</x:f>
      </x:c>
      <x:c r="U283" s="297"/>
    </x:row>
    <x:row r="284">
      <x:c r="A284" s="293"/>
      <x:c r="B284" s="235"/>
      <x:c r="C284" s="294"/>
      <x:c r="D284" s="294"/>
      <x:c r="E284" s="314"/>
      <x:c r="F284" s="307" t="str">
        <x:f>IF(OR(A284="",B284="",C284=""),"",SUMIFS('04_SAKERNAS_AGG'!$K$2:$K$301,'04_SAKERNAS_AGG'!$E$2:$E$301,A284,'04_SAKERNAS_AGG'!$F$2:$F$301,B284,'04_SAKERNAS_AGG'!$H$2:$H$301,C284))</x:f>
      </x:c>
      <x:c r="G284" s="307" t="str">
        <x:f>IF(OR(E284="",F284=""),"",E284*F284)</x:f>
      </x:c>
      <x:c r="H284" s="307" t="str">
        <x:f>IF(OR(A284="",B284="",G284=""),"",SUMIFS($G$2:$G$301,$A$2:$A$301,A284,$B$2:$B$301,B284))</x:f>
      </x:c>
      <x:c r="I284" s="308" t="str">
        <x:f>IFERROR(G284/H284,"")</x:f>
      </x:c>
      <x:c r="J284" s="235"/>
      <x:c r="K284" s="235"/>
      <x:c r="L284" s="235"/>
      <x:c r="M284" s="235"/>
      <x:c r="N284" s="315" t="str">
        <x:f>IF(OR(I284="",K284=""),"",100*I284*K284)</x:f>
      </x:c>
      <x:c r="O284" s="308" t="str">
        <x:f>IF(OR(I284="",M284=""),"",I284*M284)</x:f>
      </x:c>
      <x:c r="P284" s="235"/>
      <x:c r="Q284" s="235"/>
      <x:c r="R284" s="235"/>
      <x:c r="S284" s="308" t="str">
        <x:f>IF(OR(A284="",B284=""),"",SUMIFS($I$2:$I$301,$A$2:$A$301,A284,$B$2:$B$301,B284))</x:f>
      </x:c>
      <x:c r="T284" s="233" t="str">
        <x:f>IF(B284="","",IF(ABS(S284-1)&gt;0.000001,"ERROR_SHARE",IF(OR(Q284&lt;&gt;"VERIFIED",R284&lt;&gt;"VERIFIED"),"CHECK_MAPPING","OK")))</x:f>
      </x:c>
      <x:c r="U284" s="297"/>
    </x:row>
    <x:row r="285">
      <x:c r="A285" s="293"/>
      <x:c r="B285" s="235"/>
      <x:c r="C285" s="294"/>
      <x:c r="D285" s="294"/>
      <x:c r="E285" s="314"/>
      <x:c r="F285" s="307" t="str">
        <x:f>IF(OR(A285="",B285="",C285=""),"",SUMIFS('04_SAKERNAS_AGG'!$K$2:$K$301,'04_SAKERNAS_AGG'!$E$2:$E$301,A285,'04_SAKERNAS_AGG'!$F$2:$F$301,B285,'04_SAKERNAS_AGG'!$H$2:$H$301,C285))</x:f>
      </x:c>
      <x:c r="G285" s="307" t="str">
        <x:f>IF(OR(E285="",F285=""),"",E285*F285)</x:f>
      </x:c>
      <x:c r="H285" s="307" t="str">
        <x:f>IF(OR(A285="",B285="",G285=""),"",SUMIFS($G$2:$G$301,$A$2:$A$301,A285,$B$2:$B$301,B285))</x:f>
      </x:c>
      <x:c r="I285" s="308" t="str">
        <x:f>IFERROR(G285/H285,"")</x:f>
      </x:c>
      <x:c r="J285" s="235"/>
      <x:c r="K285" s="235"/>
      <x:c r="L285" s="235"/>
      <x:c r="M285" s="235"/>
      <x:c r="N285" s="315" t="str">
        <x:f>IF(OR(I285="",K285=""),"",100*I285*K285)</x:f>
      </x:c>
      <x:c r="O285" s="308" t="str">
        <x:f>IF(OR(I285="",M285=""),"",I285*M285)</x:f>
      </x:c>
      <x:c r="P285" s="235"/>
      <x:c r="Q285" s="235"/>
      <x:c r="R285" s="235"/>
      <x:c r="S285" s="308" t="str">
        <x:f>IF(OR(A285="",B285=""),"",SUMIFS($I$2:$I$301,$A$2:$A$301,A285,$B$2:$B$301,B285))</x:f>
      </x:c>
      <x:c r="T285" s="233" t="str">
        <x:f>IF(B285="","",IF(ABS(S285-1)&gt;0.000001,"ERROR_SHARE",IF(OR(Q285&lt;&gt;"VERIFIED",R285&lt;&gt;"VERIFIED"),"CHECK_MAPPING","OK")))</x:f>
      </x:c>
      <x:c r="U285" s="297"/>
    </x:row>
    <x:row r="286">
      <x:c r="A286" s="293"/>
      <x:c r="B286" s="235"/>
      <x:c r="C286" s="294"/>
      <x:c r="D286" s="294"/>
      <x:c r="E286" s="314"/>
      <x:c r="F286" s="307" t="str">
        <x:f>IF(OR(A286="",B286="",C286=""),"",SUMIFS('04_SAKERNAS_AGG'!$K$2:$K$301,'04_SAKERNAS_AGG'!$E$2:$E$301,A286,'04_SAKERNAS_AGG'!$F$2:$F$301,B286,'04_SAKERNAS_AGG'!$H$2:$H$301,C286))</x:f>
      </x:c>
      <x:c r="G286" s="307" t="str">
        <x:f>IF(OR(E286="",F286=""),"",E286*F286)</x:f>
      </x:c>
      <x:c r="H286" s="307" t="str">
        <x:f>IF(OR(A286="",B286="",G286=""),"",SUMIFS($G$2:$G$301,$A$2:$A$301,A286,$B$2:$B$301,B286))</x:f>
      </x:c>
      <x:c r="I286" s="308" t="str">
        <x:f>IFERROR(G286/H286,"")</x:f>
      </x:c>
      <x:c r="J286" s="235"/>
      <x:c r="K286" s="235"/>
      <x:c r="L286" s="235"/>
      <x:c r="M286" s="235"/>
      <x:c r="N286" s="315" t="str">
        <x:f>IF(OR(I286="",K286=""),"",100*I286*K286)</x:f>
      </x:c>
      <x:c r="O286" s="308" t="str">
        <x:f>IF(OR(I286="",M286=""),"",I286*M286)</x:f>
      </x:c>
      <x:c r="P286" s="235"/>
      <x:c r="Q286" s="235"/>
      <x:c r="R286" s="235"/>
      <x:c r="S286" s="308" t="str">
        <x:f>IF(OR(A286="",B286=""),"",SUMIFS($I$2:$I$301,$A$2:$A$301,A286,$B$2:$B$301,B286))</x:f>
      </x:c>
      <x:c r="T286" s="233" t="str">
        <x:f>IF(B286="","",IF(ABS(S286-1)&gt;0.000001,"ERROR_SHARE",IF(OR(Q286&lt;&gt;"VERIFIED",R286&lt;&gt;"VERIFIED"),"CHECK_MAPPING","OK")))</x:f>
      </x:c>
      <x:c r="U286" s="297"/>
    </x:row>
    <x:row r="287">
      <x:c r="A287" s="293"/>
      <x:c r="B287" s="235"/>
      <x:c r="C287" s="294"/>
      <x:c r="D287" s="294"/>
      <x:c r="E287" s="314"/>
      <x:c r="F287" s="307" t="str">
        <x:f>IF(OR(A287="",B287="",C287=""),"",SUMIFS('04_SAKERNAS_AGG'!$K$2:$K$301,'04_SAKERNAS_AGG'!$E$2:$E$301,A287,'04_SAKERNAS_AGG'!$F$2:$F$301,B287,'04_SAKERNAS_AGG'!$H$2:$H$301,C287))</x:f>
      </x:c>
      <x:c r="G287" s="307" t="str">
        <x:f>IF(OR(E287="",F287=""),"",E287*F287)</x:f>
      </x:c>
      <x:c r="H287" s="307" t="str">
        <x:f>IF(OR(A287="",B287="",G287=""),"",SUMIFS($G$2:$G$301,$A$2:$A$301,A287,$B$2:$B$301,B287))</x:f>
      </x:c>
      <x:c r="I287" s="308" t="str">
        <x:f>IFERROR(G287/H287,"")</x:f>
      </x:c>
      <x:c r="J287" s="235"/>
      <x:c r="K287" s="235"/>
      <x:c r="L287" s="235"/>
      <x:c r="M287" s="235"/>
      <x:c r="N287" s="315" t="str">
        <x:f>IF(OR(I287="",K287=""),"",100*I287*K287)</x:f>
      </x:c>
      <x:c r="O287" s="308" t="str">
        <x:f>IF(OR(I287="",M287=""),"",I287*M287)</x:f>
      </x:c>
      <x:c r="P287" s="235"/>
      <x:c r="Q287" s="235"/>
      <x:c r="R287" s="235"/>
      <x:c r="S287" s="308" t="str">
        <x:f>IF(OR(A287="",B287=""),"",SUMIFS($I$2:$I$301,$A$2:$A$301,A287,$B$2:$B$301,B287))</x:f>
      </x:c>
      <x:c r="T287" s="233" t="str">
        <x:f>IF(B287="","",IF(ABS(S287-1)&gt;0.000001,"ERROR_SHARE",IF(OR(Q287&lt;&gt;"VERIFIED",R287&lt;&gt;"VERIFIED"),"CHECK_MAPPING","OK")))</x:f>
      </x:c>
      <x:c r="U287" s="297"/>
    </x:row>
    <x:row r="288">
      <x:c r="A288" s="293"/>
      <x:c r="B288" s="235"/>
      <x:c r="C288" s="294"/>
      <x:c r="D288" s="294"/>
      <x:c r="E288" s="314"/>
      <x:c r="F288" s="307" t="str">
        <x:f>IF(OR(A288="",B288="",C288=""),"",SUMIFS('04_SAKERNAS_AGG'!$K$2:$K$301,'04_SAKERNAS_AGG'!$E$2:$E$301,A288,'04_SAKERNAS_AGG'!$F$2:$F$301,B288,'04_SAKERNAS_AGG'!$H$2:$H$301,C288))</x:f>
      </x:c>
      <x:c r="G288" s="307" t="str">
        <x:f>IF(OR(E288="",F288=""),"",E288*F288)</x:f>
      </x:c>
      <x:c r="H288" s="307" t="str">
        <x:f>IF(OR(A288="",B288="",G288=""),"",SUMIFS($G$2:$G$301,$A$2:$A$301,A288,$B$2:$B$301,B288))</x:f>
      </x:c>
      <x:c r="I288" s="308" t="str">
        <x:f>IFERROR(G288/H288,"")</x:f>
      </x:c>
      <x:c r="J288" s="235"/>
      <x:c r="K288" s="235"/>
      <x:c r="L288" s="235"/>
      <x:c r="M288" s="235"/>
      <x:c r="N288" s="315" t="str">
        <x:f>IF(OR(I288="",K288=""),"",100*I288*K288)</x:f>
      </x:c>
      <x:c r="O288" s="308" t="str">
        <x:f>IF(OR(I288="",M288=""),"",I288*M288)</x:f>
      </x:c>
      <x:c r="P288" s="235"/>
      <x:c r="Q288" s="235"/>
      <x:c r="R288" s="235"/>
      <x:c r="S288" s="308" t="str">
        <x:f>IF(OR(A288="",B288=""),"",SUMIFS($I$2:$I$301,$A$2:$A$301,A288,$B$2:$B$301,B288))</x:f>
      </x:c>
      <x:c r="T288" s="233" t="str">
        <x:f>IF(B288="","",IF(ABS(S288-1)&gt;0.000001,"ERROR_SHARE",IF(OR(Q288&lt;&gt;"VERIFIED",R288&lt;&gt;"VERIFIED"),"CHECK_MAPPING","OK")))</x:f>
      </x:c>
      <x:c r="U288" s="297"/>
    </x:row>
    <x:row r="289">
      <x:c r="A289" s="293"/>
      <x:c r="B289" s="235"/>
      <x:c r="C289" s="294"/>
      <x:c r="D289" s="294"/>
      <x:c r="E289" s="314"/>
      <x:c r="F289" s="307" t="str">
        <x:f>IF(OR(A289="",B289="",C289=""),"",SUMIFS('04_SAKERNAS_AGG'!$K$2:$K$301,'04_SAKERNAS_AGG'!$E$2:$E$301,A289,'04_SAKERNAS_AGG'!$F$2:$F$301,B289,'04_SAKERNAS_AGG'!$H$2:$H$301,C289))</x:f>
      </x:c>
      <x:c r="G289" s="307" t="str">
        <x:f>IF(OR(E289="",F289=""),"",E289*F289)</x:f>
      </x:c>
      <x:c r="H289" s="307" t="str">
        <x:f>IF(OR(A289="",B289="",G289=""),"",SUMIFS($G$2:$G$301,$A$2:$A$301,A289,$B$2:$B$301,B289))</x:f>
      </x:c>
      <x:c r="I289" s="308" t="str">
        <x:f>IFERROR(G289/H289,"")</x:f>
      </x:c>
      <x:c r="J289" s="235"/>
      <x:c r="K289" s="235"/>
      <x:c r="L289" s="235"/>
      <x:c r="M289" s="235"/>
      <x:c r="N289" s="315" t="str">
        <x:f>IF(OR(I289="",K289=""),"",100*I289*K289)</x:f>
      </x:c>
      <x:c r="O289" s="308" t="str">
        <x:f>IF(OR(I289="",M289=""),"",I289*M289)</x:f>
      </x:c>
      <x:c r="P289" s="235"/>
      <x:c r="Q289" s="235"/>
      <x:c r="R289" s="235"/>
      <x:c r="S289" s="308" t="str">
        <x:f>IF(OR(A289="",B289=""),"",SUMIFS($I$2:$I$301,$A$2:$A$301,A289,$B$2:$B$301,B289))</x:f>
      </x:c>
      <x:c r="T289" s="233" t="str">
        <x:f>IF(B289="","",IF(ABS(S289-1)&gt;0.000001,"ERROR_SHARE",IF(OR(Q289&lt;&gt;"VERIFIED",R289&lt;&gt;"VERIFIED"),"CHECK_MAPPING","OK")))</x:f>
      </x:c>
      <x:c r="U289" s="297"/>
    </x:row>
    <x:row r="290">
      <x:c r="A290" s="293"/>
      <x:c r="B290" s="235"/>
      <x:c r="C290" s="294"/>
      <x:c r="D290" s="294"/>
      <x:c r="E290" s="314"/>
      <x:c r="F290" s="307" t="str">
        <x:f>IF(OR(A290="",B290="",C290=""),"",SUMIFS('04_SAKERNAS_AGG'!$K$2:$K$301,'04_SAKERNAS_AGG'!$E$2:$E$301,A290,'04_SAKERNAS_AGG'!$F$2:$F$301,B290,'04_SAKERNAS_AGG'!$H$2:$H$301,C290))</x:f>
      </x:c>
      <x:c r="G290" s="307" t="str">
        <x:f>IF(OR(E290="",F290=""),"",E290*F290)</x:f>
      </x:c>
      <x:c r="H290" s="307" t="str">
        <x:f>IF(OR(A290="",B290="",G290=""),"",SUMIFS($G$2:$G$301,$A$2:$A$301,A290,$B$2:$B$301,B290))</x:f>
      </x:c>
      <x:c r="I290" s="308" t="str">
        <x:f>IFERROR(G290/H290,"")</x:f>
      </x:c>
      <x:c r="J290" s="235"/>
      <x:c r="K290" s="235"/>
      <x:c r="L290" s="235"/>
      <x:c r="M290" s="235"/>
      <x:c r="N290" s="315" t="str">
        <x:f>IF(OR(I290="",K290=""),"",100*I290*K290)</x:f>
      </x:c>
      <x:c r="O290" s="308" t="str">
        <x:f>IF(OR(I290="",M290=""),"",I290*M290)</x:f>
      </x:c>
      <x:c r="P290" s="235"/>
      <x:c r="Q290" s="235"/>
      <x:c r="R290" s="235"/>
      <x:c r="S290" s="308" t="str">
        <x:f>IF(OR(A290="",B290=""),"",SUMIFS($I$2:$I$301,$A$2:$A$301,A290,$B$2:$B$301,B290))</x:f>
      </x:c>
      <x:c r="T290" s="233" t="str">
        <x:f>IF(B290="","",IF(ABS(S290-1)&gt;0.000001,"ERROR_SHARE",IF(OR(Q290&lt;&gt;"VERIFIED",R290&lt;&gt;"VERIFIED"),"CHECK_MAPPING","OK")))</x:f>
      </x:c>
      <x:c r="U290" s="297"/>
    </x:row>
    <x:row r="291">
      <x:c r="A291" s="293"/>
      <x:c r="B291" s="235"/>
      <x:c r="C291" s="294"/>
      <x:c r="D291" s="294"/>
      <x:c r="E291" s="314"/>
      <x:c r="F291" s="307" t="str">
        <x:f>IF(OR(A291="",B291="",C291=""),"",SUMIFS('04_SAKERNAS_AGG'!$K$2:$K$301,'04_SAKERNAS_AGG'!$E$2:$E$301,A291,'04_SAKERNAS_AGG'!$F$2:$F$301,B291,'04_SAKERNAS_AGG'!$H$2:$H$301,C291))</x:f>
      </x:c>
      <x:c r="G291" s="307" t="str">
        <x:f>IF(OR(E291="",F291=""),"",E291*F291)</x:f>
      </x:c>
      <x:c r="H291" s="307" t="str">
        <x:f>IF(OR(A291="",B291="",G291=""),"",SUMIFS($G$2:$G$301,$A$2:$A$301,A291,$B$2:$B$301,B291))</x:f>
      </x:c>
      <x:c r="I291" s="308" t="str">
        <x:f>IFERROR(G291/H291,"")</x:f>
      </x:c>
      <x:c r="J291" s="235"/>
      <x:c r="K291" s="235"/>
      <x:c r="L291" s="235"/>
      <x:c r="M291" s="235"/>
      <x:c r="N291" s="315" t="str">
        <x:f>IF(OR(I291="",K291=""),"",100*I291*K291)</x:f>
      </x:c>
      <x:c r="O291" s="308" t="str">
        <x:f>IF(OR(I291="",M291=""),"",I291*M291)</x:f>
      </x:c>
      <x:c r="P291" s="235"/>
      <x:c r="Q291" s="235"/>
      <x:c r="R291" s="235"/>
      <x:c r="S291" s="308" t="str">
        <x:f>IF(OR(A291="",B291=""),"",SUMIFS($I$2:$I$301,$A$2:$A$301,A291,$B$2:$B$301,B291))</x:f>
      </x:c>
      <x:c r="T291" s="233" t="str">
        <x:f>IF(B291="","",IF(ABS(S291-1)&gt;0.000001,"ERROR_SHARE",IF(OR(Q291&lt;&gt;"VERIFIED",R291&lt;&gt;"VERIFIED"),"CHECK_MAPPING","OK")))</x:f>
      </x:c>
      <x:c r="U291" s="297"/>
    </x:row>
    <x:row r="292">
      <x:c r="A292" s="293"/>
      <x:c r="B292" s="235"/>
      <x:c r="C292" s="294"/>
      <x:c r="D292" s="294"/>
      <x:c r="E292" s="314"/>
      <x:c r="F292" s="307" t="str">
        <x:f>IF(OR(A292="",B292="",C292=""),"",SUMIFS('04_SAKERNAS_AGG'!$K$2:$K$301,'04_SAKERNAS_AGG'!$E$2:$E$301,A292,'04_SAKERNAS_AGG'!$F$2:$F$301,B292,'04_SAKERNAS_AGG'!$H$2:$H$301,C292))</x:f>
      </x:c>
      <x:c r="G292" s="307" t="str">
        <x:f>IF(OR(E292="",F292=""),"",E292*F292)</x:f>
      </x:c>
      <x:c r="H292" s="307" t="str">
        <x:f>IF(OR(A292="",B292="",G292=""),"",SUMIFS($G$2:$G$301,$A$2:$A$301,A292,$B$2:$B$301,B292))</x:f>
      </x:c>
      <x:c r="I292" s="308" t="str">
        <x:f>IFERROR(G292/H292,"")</x:f>
      </x:c>
      <x:c r="J292" s="235"/>
      <x:c r="K292" s="235"/>
      <x:c r="L292" s="235"/>
      <x:c r="M292" s="235"/>
      <x:c r="N292" s="315" t="str">
        <x:f>IF(OR(I292="",K292=""),"",100*I292*K292)</x:f>
      </x:c>
      <x:c r="O292" s="308" t="str">
        <x:f>IF(OR(I292="",M292=""),"",I292*M292)</x:f>
      </x:c>
      <x:c r="P292" s="235"/>
      <x:c r="Q292" s="235"/>
      <x:c r="R292" s="235"/>
      <x:c r="S292" s="308" t="str">
        <x:f>IF(OR(A292="",B292=""),"",SUMIFS($I$2:$I$301,$A$2:$A$301,A292,$B$2:$B$301,B292))</x:f>
      </x:c>
      <x:c r="T292" s="233" t="str">
        <x:f>IF(B292="","",IF(ABS(S292-1)&gt;0.000001,"ERROR_SHARE",IF(OR(Q292&lt;&gt;"VERIFIED",R292&lt;&gt;"VERIFIED"),"CHECK_MAPPING","OK")))</x:f>
      </x:c>
      <x:c r="U292" s="297"/>
    </x:row>
    <x:row r="293">
      <x:c r="A293" s="293"/>
      <x:c r="B293" s="235"/>
      <x:c r="C293" s="294"/>
      <x:c r="D293" s="294"/>
      <x:c r="E293" s="314"/>
      <x:c r="F293" s="307" t="str">
        <x:f>IF(OR(A293="",B293="",C293=""),"",SUMIFS('04_SAKERNAS_AGG'!$K$2:$K$301,'04_SAKERNAS_AGG'!$E$2:$E$301,A293,'04_SAKERNAS_AGG'!$F$2:$F$301,B293,'04_SAKERNAS_AGG'!$H$2:$H$301,C293))</x:f>
      </x:c>
      <x:c r="G293" s="307" t="str">
        <x:f>IF(OR(E293="",F293=""),"",E293*F293)</x:f>
      </x:c>
      <x:c r="H293" s="307" t="str">
        <x:f>IF(OR(A293="",B293="",G293=""),"",SUMIFS($G$2:$G$301,$A$2:$A$301,A293,$B$2:$B$301,B293))</x:f>
      </x:c>
      <x:c r="I293" s="308" t="str">
        <x:f>IFERROR(G293/H293,"")</x:f>
      </x:c>
      <x:c r="J293" s="235"/>
      <x:c r="K293" s="235"/>
      <x:c r="L293" s="235"/>
      <x:c r="M293" s="235"/>
      <x:c r="N293" s="315" t="str">
        <x:f>IF(OR(I293="",K293=""),"",100*I293*K293)</x:f>
      </x:c>
      <x:c r="O293" s="308" t="str">
        <x:f>IF(OR(I293="",M293=""),"",I293*M293)</x:f>
      </x:c>
      <x:c r="P293" s="235"/>
      <x:c r="Q293" s="235"/>
      <x:c r="R293" s="235"/>
      <x:c r="S293" s="308" t="str">
        <x:f>IF(OR(A293="",B293=""),"",SUMIFS($I$2:$I$301,$A$2:$A$301,A293,$B$2:$B$301,B293))</x:f>
      </x:c>
      <x:c r="T293" s="233" t="str">
        <x:f>IF(B293="","",IF(ABS(S293-1)&gt;0.000001,"ERROR_SHARE",IF(OR(Q293&lt;&gt;"VERIFIED",R293&lt;&gt;"VERIFIED"),"CHECK_MAPPING","OK")))</x:f>
      </x:c>
      <x:c r="U293" s="297"/>
    </x:row>
    <x:row r="294">
      <x:c r="A294" s="293"/>
      <x:c r="B294" s="235"/>
      <x:c r="C294" s="294"/>
      <x:c r="D294" s="294"/>
      <x:c r="E294" s="314"/>
      <x:c r="F294" s="307" t="str">
        <x:f>IF(OR(A294="",B294="",C294=""),"",SUMIFS('04_SAKERNAS_AGG'!$K$2:$K$301,'04_SAKERNAS_AGG'!$E$2:$E$301,A294,'04_SAKERNAS_AGG'!$F$2:$F$301,B294,'04_SAKERNAS_AGG'!$H$2:$H$301,C294))</x:f>
      </x:c>
      <x:c r="G294" s="307" t="str">
        <x:f>IF(OR(E294="",F294=""),"",E294*F294)</x:f>
      </x:c>
      <x:c r="H294" s="307" t="str">
        <x:f>IF(OR(A294="",B294="",G294=""),"",SUMIFS($G$2:$G$301,$A$2:$A$301,A294,$B$2:$B$301,B294))</x:f>
      </x:c>
      <x:c r="I294" s="308" t="str">
        <x:f>IFERROR(G294/H294,"")</x:f>
      </x:c>
      <x:c r="J294" s="235"/>
      <x:c r="K294" s="235"/>
      <x:c r="L294" s="235"/>
      <x:c r="M294" s="235"/>
      <x:c r="N294" s="315" t="str">
        <x:f>IF(OR(I294="",K294=""),"",100*I294*K294)</x:f>
      </x:c>
      <x:c r="O294" s="308" t="str">
        <x:f>IF(OR(I294="",M294=""),"",I294*M294)</x:f>
      </x:c>
      <x:c r="P294" s="235"/>
      <x:c r="Q294" s="235"/>
      <x:c r="R294" s="235"/>
      <x:c r="S294" s="308" t="str">
        <x:f>IF(OR(A294="",B294=""),"",SUMIFS($I$2:$I$301,$A$2:$A$301,A294,$B$2:$B$301,B294))</x:f>
      </x:c>
      <x:c r="T294" s="233" t="str">
        <x:f>IF(B294="","",IF(ABS(S294-1)&gt;0.000001,"ERROR_SHARE",IF(OR(Q294&lt;&gt;"VERIFIED",R294&lt;&gt;"VERIFIED"),"CHECK_MAPPING","OK")))</x:f>
      </x:c>
      <x:c r="U294" s="297"/>
    </x:row>
    <x:row r="295">
      <x:c r="A295" s="293"/>
      <x:c r="B295" s="235"/>
      <x:c r="C295" s="294"/>
      <x:c r="D295" s="294"/>
      <x:c r="E295" s="314"/>
      <x:c r="F295" s="307" t="str">
        <x:f>IF(OR(A295="",B295="",C295=""),"",SUMIFS('04_SAKERNAS_AGG'!$K$2:$K$301,'04_SAKERNAS_AGG'!$E$2:$E$301,A295,'04_SAKERNAS_AGG'!$F$2:$F$301,B295,'04_SAKERNAS_AGG'!$H$2:$H$301,C295))</x:f>
      </x:c>
      <x:c r="G295" s="307" t="str">
        <x:f>IF(OR(E295="",F295=""),"",E295*F295)</x:f>
      </x:c>
      <x:c r="H295" s="307" t="str">
        <x:f>IF(OR(A295="",B295="",G295=""),"",SUMIFS($G$2:$G$301,$A$2:$A$301,A295,$B$2:$B$301,B295))</x:f>
      </x:c>
      <x:c r="I295" s="308" t="str">
        <x:f>IFERROR(G295/H295,"")</x:f>
      </x:c>
      <x:c r="J295" s="235"/>
      <x:c r="K295" s="235"/>
      <x:c r="L295" s="235"/>
      <x:c r="M295" s="235"/>
      <x:c r="N295" s="315" t="str">
        <x:f>IF(OR(I295="",K295=""),"",100*I295*K295)</x:f>
      </x:c>
      <x:c r="O295" s="308" t="str">
        <x:f>IF(OR(I295="",M295=""),"",I295*M295)</x:f>
      </x:c>
      <x:c r="P295" s="235"/>
      <x:c r="Q295" s="235"/>
      <x:c r="R295" s="235"/>
      <x:c r="S295" s="308" t="str">
        <x:f>IF(OR(A295="",B295=""),"",SUMIFS($I$2:$I$301,$A$2:$A$301,A295,$B$2:$B$301,B295))</x:f>
      </x:c>
      <x:c r="T295" s="233" t="str">
        <x:f>IF(B295="","",IF(ABS(S295-1)&gt;0.000001,"ERROR_SHARE",IF(OR(Q295&lt;&gt;"VERIFIED",R295&lt;&gt;"VERIFIED"),"CHECK_MAPPING","OK")))</x:f>
      </x:c>
      <x:c r="U295" s="297"/>
    </x:row>
    <x:row r="296">
      <x:c r="A296" s="293"/>
      <x:c r="B296" s="235"/>
      <x:c r="C296" s="294"/>
      <x:c r="D296" s="294"/>
      <x:c r="E296" s="314"/>
      <x:c r="F296" s="307" t="str">
        <x:f>IF(OR(A296="",B296="",C296=""),"",SUMIFS('04_SAKERNAS_AGG'!$K$2:$K$301,'04_SAKERNAS_AGG'!$E$2:$E$301,A296,'04_SAKERNAS_AGG'!$F$2:$F$301,B296,'04_SAKERNAS_AGG'!$H$2:$H$301,C296))</x:f>
      </x:c>
      <x:c r="G296" s="307" t="str">
        <x:f>IF(OR(E296="",F296=""),"",E296*F296)</x:f>
      </x:c>
      <x:c r="H296" s="307" t="str">
        <x:f>IF(OR(A296="",B296="",G296=""),"",SUMIFS($G$2:$G$301,$A$2:$A$301,A296,$B$2:$B$301,B296))</x:f>
      </x:c>
      <x:c r="I296" s="308" t="str">
        <x:f>IFERROR(G296/H296,"")</x:f>
      </x:c>
      <x:c r="J296" s="235"/>
      <x:c r="K296" s="235"/>
      <x:c r="L296" s="235"/>
      <x:c r="M296" s="235"/>
      <x:c r="N296" s="315" t="str">
        <x:f>IF(OR(I296="",K296=""),"",100*I296*K296)</x:f>
      </x:c>
      <x:c r="O296" s="308" t="str">
        <x:f>IF(OR(I296="",M296=""),"",I296*M296)</x:f>
      </x:c>
      <x:c r="P296" s="235"/>
      <x:c r="Q296" s="235"/>
      <x:c r="R296" s="235"/>
      <x:c r="S296" s="308" t="str">
        <x:f>IF(OR(A296="",B296=""),"",SUMIFS($I$2:$I$301,$A$2:$A$301,A296,$B$2:$B$301,B296))</x:f>
      </x:c>
      <x:c r="T296" s="233" t="str">
        <x:f>IF(B296="","",IF(ABS(S296-1)&gt;0.000001,"ERROR_SHARE",IF(OR(Q296&lt;&gt;"VERIFIED",R296&lt;&gt;"VERIFIED"),"CHECK_MAPPING","OK")))</x:f>
      </x:c>
      <x:c r="U296" s="297"/>
    </x:row>
    <x:row r="297">
      <x:c r="A297" s="293"/>
      <x:c r="B297" s="235"/>
      <x:c r="C297" s="294"/>
      <x:c r="D297" s="294"/>
      <x:c r="E297" s="314"/>
      <x:c r="F297" s="307" t="str">
        <x:f>IF(OR(A297="",B297="",C297=""),"",SUMIFS('04_SAKERNAS_AGG'!$K$2:$K$301,'04_SAKERNAS_AGG'!$E$2:$E$301,A297,'04_SAKERNAS_AGG'!$F$2:$F$301,B297,'04_SAKERNAS_AGG'!$H$2:$H$301,C297))</x:f>
      </x:c>
      <x:c r="G297" s="307" t="str">
        <x:f>IF(OR(E297="",F297=""),"",E297*F297)</x:f>
      </x:c>
      <x:c r="H297" s="307" t="str">
        <x:f>IF(OR(A297="",B297="",G297=""),"",SUMIFS($G$2:$G$301,$A$2:$A$301,A297,$B$2:$B$301,B297))</x:f>
      </x:c>
      <x:c r="I297" s="308" t="str">
        <x:f>IFERROR(G297/H297,"")</x:f>
      </x:c>
      <x:c r="J297" s="235"/>
      <x:c r="K297" s="235"/>
      <x:c r="L297" s="235"/>
      <x:c r="M297" s="235"/>
      <x:c r="N297" s="315" t="str">
        <x:f>IF(OR(I297="",K297=""),"",100*I297*K297)</x:f>
      </x:c>
      <x:c r="O297" s="308" t="str">
        <x:f>IF(OR(I297="",M297=""),"",I297*M297)</x:f>
      </x:c>
      <x:c r="P297" s="235"/>
      <x:c r="Q297" s="235"/>
      <x:c r="R297" s="235"/>
      <x:c r="S297" s="308" t="str">
        <x:f>IF(OR(A297="",B297=""),"",SUMIFS($I$2:$I$301,$A$2:$A$301,A297,$B$2:$B$301,B297))</x:f>
      </x:c>
      <x:c r="T297" s="233" t="str">
        <x:f>IF(B297="","",IF(ABS(S297-1)&gt;0.000001,"ERROR_SHARE",IF(OR(Q297&lt;&gt;"VERIFIED",R297&lt;&gt;"VERIFIED"),"CHECK_MAPPING","OK")))</x:f>
      </x:c>
      <x:c r="U297" s="297"/>
    </x:row>
    <x:row r="298">
      <x:c r="A298" s="293"/>
      <x:c r="B298" s="235"/>
      <x:c r="C298" s="294"/>
      <x:c r="D298" s="294"/>
      <x:c r="E298" s="314"/>
      <x:c r="F298" s="307" t="str">
        <x:f>IF(OR(A298="",B298="",C298=""),"",SUMIFS('04_SAKERNAS_AGG'!$K$2:$K$301,'04_SAKERNAS_AGG'!$E$2:$E$301,A298,'04_SAKERNAS_AGG'!$F$2:$F$301,B298,'04_SAKERNAS_AGG'!$H$2:$H$301,C298))</x:f>
      </x:c>
      <x:c r="G298" s="307" t="str">
        <x:f>IF(OR(E298="",F298=""),"",E298*F298)</x:f>
      </x:c>
      <x:c r="H298" s="307" t="str">
        <x:f>IF(OR(A298="",B298="",G298=""),"",SUMIFS($G$2:$G$301,$A$2:$A$301,A298,$B$2:$B$301,B298))</x:f>
      </x:c>
      <x:c r="I298" s="308" t="str">
        <x:f>IFERROR(G298/H298,"")</x:f>
      </x:c>
      <x:c r="J298" s="235"/>
      <x:c r="K298" s="235"/>
      <x:c r="L298" s="235"/>
      <x:c r="M298" s="235"/>
      <x:c r="N298" s="315" t="str">
        <x:f>IF(OR(I298="",K298=""),"",100*I298*K298)</x:f>
      </x:c>
      <x:c r="O298" s="308" t="str">
        <x:f>IF(OR(I298="",M298=""),"",I298*M298)</x:f>
      </x:c>
      <x:c r="P298" s="235"/>
      <x:c r="Q298" s="235"/>
      <x:c r="R298" s="235"/>
      <x:c r="S298" s="308" t="str">
        <x:f>IF(OR(A298="",B298=""),"",SUMIFS($I$2:$I$301,$A$2:$A$301,A298,$B$2:$B$301,B298))</x:f>
      </x:c>
      <x:c r="T298" s="233" t="str">
        <x:f>IF(B298="","",IF(ABS(S298-1)&gt;0.000001,"ERROR_SHARE",IF(OR(Q298&lt;&gt;"VERIFIED",R298&lt;&gt;"VERIFIED"),"CHECK_MAPPING","OK")))</x:f>
      </x:c>
      <x:c r="U298" s="297"/>
    </x:row>
    <x:row r="299">
      <x:c r="A299" s="293"/>
      <x:c r="B299" s="235"/>
      <x:c r="C299" s="294"/>
      <x:c r="D299" s="294"/>
      <x:c r="E299" s="314"/>
      <x:c r="F299" s="307" t="str">
        <x:f>IF(OR(A299="",B299="",C299=""),"",SUMIFS('04_SAKERNAS_AGG'!$K$2:$K$301,'04_SAKERNAS_AGG'!$E$2:$E$301,A299,'04_SAKERNAS_AGG'!$F$2:$F$301,B299,'04_SAKERNAS_AGG'!$H$2:$H$301,C299))</x:f>
      </x:c>
      <x:c r="G299" s="307" t="str">
        <x:f>IF(OR(E299="",F299=""),"",E299*F299)</x:f>
      </x:c>
      <x:c r="H299" s="307" t="str">
        <x:f>IF(OR(A299="",B299="",G299=""),"",SUMIFS($G$2:$G$301,$A$2:$A$301,A299,$B$2:$B$301,B299))</x:f>
      </x:c>
      <x:c r="I299" s="308" t="str">
        <x:f>IFERROR(G299/H299,"")</x:f>
      </x:c>
      <x:c r="J299" s="235"/>
      <x:c r="K299" s="235"/>
      <x:c r="L299" s="235"/>
      <x:c r="M299" s="235"/>
      <x:c r="N299" s="315" t="str">
        <x:f>IF(OR(I299="",K299=""),"",100*I299*K299)</x:f>
      </x:c>
      <x:c r="O299" s="308" t="str">
        <x:f>IF(OR(I299="",M299=""),"",I299*M299)</x:f>
      </x:c>
      <x:c r="P299" s="235"/>
      <x:c r="Q299" s="235"/>
      <x:c r="R299" s="235"/>
      <x:c r="S299" s="308" t="str">
        <x:f>IF(OR(A299="",B299=""),"",SUMIFS($I$2:$I$301,$A$2:$A$301,A299,$B$2:$B$301,B299))</x:f>
      </x:c>
      <x:c r="T299" s="233" t="str">
        <x:f>IF(B299="","",IF(ABS(S299-1)&gt;0.000001,"ERROR_SHARE",IF(OR(Q299&lt;&gt;"VERIFIED",R299&lt;&gt;"VERIFIED"),"CHECK_MAPPING","OK")))</x:f>
      </x:c>
      <x:c r="U299" s="297"/>
    </x:row>
    <x:row r="300">
      <x:c r="A300" s="293"/>
      <x:c r="B300" s="235"/>
      <x:c r="C300" s="294"/>
      <x:c r="D300" s="294"/>
      <x:c r="E300" s="314"/>
      <x:c r="F300" s="307" t="str">
        <x:f>IF(OR(A300="",B300="",C300=""),"",SUMIFS('04_SAKERNAS_AGG'!$K$2:$K$301,'04_SAKERNAS_AGG'!$E$2:$E$301,A300,'04_SAKERNAS_AGG'!$F$2:$F$301,B300,'04_SAKERNAS_AGG'!$H$2:$H$301,C300))</x:f>
      </x:c>
      <x:c r="G300" s="307" t="str">
        <x:f>IF(OR(E300="",F300=""),"",E300*F300)</x:f>
      </x:c>
      <x:c r="H300" s="307" t="str">
        <x:f>IF(OR(A300="",B300="",G300=""),"",SUMIFS($G$2:$G$301,$A$2:$A$301,A300,$B$2:$B$301,B300))</x:f>
      </x:c>
      <x:c r="I300" s="308" t="str">
        <x:f>IFERROR(G300/H300,"")</x:f>
      </x:c>
      <x:c r="J300" s="235"/>
      <x:c r="K300" s="235"/>
      <x:c r="L300" s="235"/>
      <x:c r="M300" s="235"/>
      <x:c r="N300" s="315" t="str">
        <x:f>IF(OR(I300="",K300=""),"",100*I300*K300)</x:f>
      </x:c>
      <x:c r="O300" s="308" t="str">
        <x:f>IF(OR(I300="",M300=""),"",I300*M300)</x:f>
      </x:c>
      <x:c r="P300" s="235"/>
      <x:c r="Q300" s="235"/>
      <x:c r="R300" s="235"/>
      <x:c r="S300" s="308" t="str">
        <x:f>IF(OR(A300="",B300=""),"",SUMIFS($I$2:$I$301,$A$2:$A$301,A300,$B$2:$B$301,B300))</x:f>
      </x:c>
      <x:c r="T300" s="233" t="str">
        <x:f>IF(B300="","",IF(ABS(S300-1)&gt;0.000001,"ERROR_SHARE",IF(OR(Q300&lt;&gt;"VERIFIED",R300&lt;&gt;"VERIFIED"),"CHECK_MAPPING","OK")))</x:f>
      </x:c>
      <x:c r="U300" s="297"/>
    </x:row>
    <x:row r="301">
      <x:c r="A301" s="298"/>
      <x:c r="B301" s="287"/>
      <x:c r="C301" s="299"/>
      <x:c r="D301" s="299"/>
      <x:c r="E301" s="316"/>
      <x:c r="F301" s="310" t="str">
        <x:f>IF(OR(A301="",B301="",C301=""),"",SUMIFS('04_SAKERNAS_AGG'!$K$2:$K$301,'04_SAKERNAS_AGG'!$E$2:$E$301,A301,'04_SAKERNAS_AGG'!$F$2:$F$301,B301,'04_SAKERNAS_AGG'!$H$2:$H$301,C301))</x:f>
      </x:c>
      <x:c r="G301" s="310" t="str">
        <x:f>IF(OR(E301="",F301=""),"",E301*F301)</x:f>
      </x:c>
      <x:c r="H301" s="310" t="str">
        <x:f>IF(OR(A301="",B301="",G301=""),"",SUMIFS($G$2:$G$301,$A$2:$A$301,A301,$B$2:$B$301,B301))</x:f>
      </x:c>
      <x:c r="I301" s="311" t="str">
        <x:f>IFERROR(G301/H301,"")</x:f>
      </x:c>
      <x:c r="J301" s="287"/>
      <x:c r="K301" s="287"/>
      <x:c r="L301" s="287"/>
      <x:c r="M301" s="287"/>
      <x:c r="N301" s="317" t="str">
        <x:f>IF(OR(I301="",K301=""),"",100*I301*K301)</x:f>
      </x:c>
      <x:c r="O301" s="311" t="str">
        <x:f>IF(OR(I301="",M301=""),"",I301*M301)</x:f>
      </x:c>
      <x:c r="P301" s="287"/>
      <x:c r="Q301" s="287"/>
      <x:c r="R301" s="287"/>
      <x:c r="S301" s="311" t="str">
        <x:f>IF(OR(A301="",B301=""),"",SUMIFS($I$2:$I$301,$A$2:$A$301,A301,$B$2:$B$301,B301))</x:f>
      </x:c>
      <x:c r="T301" s="286" t="str">
        <x:f>IF(B301="","",IF(ABS(S301-1)&gt;0.000001,"ERROR_SHARE",IF(OR(Q301&lt;&gt;"VERIFIED",R301&lt;&gt;"VERIFIED"),"CHECK_MAPPING","OK")))</x:f>
      </x:c>
      <x:c r="U301" s="302"/>
    </x:row>
  </x:sheetData>
  <x:conditionalFormatting sqref="Q2:T301">
    <x:cfRule type="containsText" dxfId="45" priority="1" operator="containsText" text="BLOCKED"/>
    <x:cfRule type="containsText" dxfId="46" priority="2" operator="containsText" text="ERROR"/>
    <x:cfRule type="containsText" dxfId="47" priority="3" operator="containsText" text="READY"/>
    <x:cfRule type="containsText" dxfId="48" priority="4" operator="containsText" text="VERIFIED"/>
    <x:cfRule type="containsText" dxfId="49" priority="5" operator="containsText" text="PENDING"/>
  </x:conditionalFormatting>
  <x:dataValidations count="5">
    <x:dataValidation type="list" sqref="A2:A301">
      <x:formula1>"Tier A,Tier B"</x:formula1>
    </x:dataValidation>
    <x:dataValidation type="list" sqref="Q2:R301">
      <x:formula1>"VERIFIED,PENDING,UNKNOWN,MISSING"</x:formula1>
    </x:dataValidation>
    <x:dataValidation type="decimal" operator="between" sqref="E2:E301">
      <x:formula1>0</x:formula1>
      <x:formula2>1</x:formula2>
    </x:dataValidation>
    <x:dataValidation type="whole" operator="between" sqref="K2:K301">
      <x:formula1>0</x:formula1>
      <x:formula2>1</x:formula2>
    </x:dataValidation>
    <x:dataValidation type="whole" operator="between" sqref="M2:M301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36a3248a0de4d5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15" hidden="0" customWidth="1"/>
    <x:col min="5" max="5" width="21" hidden="0" customWidth="1"/>
    <x:col min="6" max="6" width="22" hidden="0" customWidth="1"/>
    <x:col min="7" max="7" width="16" hidden="0" customWidth="1"/>
    <x:col min="8" max="8" width="22" hidden="0" customWidth="1"/>
    <x:col min="9" max="9" width="15" hidden="0" customWidth="1"/>
    <x:col min="10" max="10" width="21" hidden="0" customWidth="1"/>
    <x:col min="11" max="11" width="16" hidden="0" customWidth="1"/>
    <x:col min="12" max="12" width="30" hidden="0" customWidth="1"/>
    <x:col min="13" max="13" width="15" hidden="0" customWidth="1"/>
    <x:col min="14" max="14" width="21" hidden="0" customWidth="1"/>
    <x:col min="15" max="15" width="16" hidden="0" customWidth="1"/>
    <x:col min="16" max="16" width="30" hidden="0" customWidth="1"/>
    <x:col min="17" max="17" width="17" hidden="0" customWidth="1"/>
    <x:col min="18" max="18" width="20" hidden="0" customWidth="1"/>
    <x:col min="19" max="19" width="19" hidden="0" customWidth="1"/>
    <x:col min="20" max="20" width="24" hidden="0" customWidth="1"/>
    <x:col min="21" max="21" width="15" hidden="0" customWidth="1"/>
    <x:col min="22" max="22" width="15" hidden="0" customWidth="1"/>
    <x:col min="23" max="23" width="16" hidden="0" customWidth="1"/>
    <x:col min="24" max="24" width="45" hidden="0" customWidth="1"/>
  </x:cols>
  <x:sheetData>
    <x:row r="1" ht="34" customHeight="1">
      <x:c r="A1" s="220" t="str">
        <x:v>tier</x:v>
      </x:c>
      <x:c r="B1" s="221" t="str">
        <x:v>sector_id</x:v>
      </x:c>
      <x:c r="C1" s="221" t="str">
        <x:v>sector_name</x:v>
      </x:c>
      <x:c r="D1" s="221" t="str">
        <x:v>X1_raw_pct</x:v>
      </x:c>
      <x:c r="E1" s="221" t="str">
        <x:v>X1_numerator_weighted</x:v>
      </x:c>
      <x:c r="F1" s="221" t="str">
        <x:v>X1_denominator_weighted</x:v>
      </x:c>
      <x:c r="G1" s="221" t="str">
        <x:v>X1_status</x:v>
      </x:c>
      <x:c r="H1" s="221" t="str">
        <x:v>X1_source_id</x:v>
      </x:c>
      <x:c r="I1" s="221" t="str">
        <x:v>X2_raw_pct</x:v>
      </x:c>
      <x:c r="J1" s="221" t="str">
        <x:v>X2_mapping_coverage</x:v>
      </x:c>
      <x:c r="K1" s="221" t="str">
        <x:v>X2_status</x:v>
      </x:c>
      <x:c r="L1" s="221" t="str">
        <x:v>X2_source_id</x:v>
      </x:c>
      <x:c r="M1" s="221" t="str">
        <x:v>X3_raw_0_5</x:v>
      </x:c>
      <x:c r="N1" s="221" t="str">
        <x:v>X3_mapping_coverage</x:v>
      </x:c>
      <x:c r="O1" s="221" t="str">
        <x:v>X3_status</x:v>
      </x:c>
      <x:c r="P1" s="221" t="str">
        <x:v>X3_source_id</x:v>
      </x:c>
      <x:c r="Q1" s="221" t="str">
        <x:v>readiness_raw</x:v>
      </x:c>
      <x:c r="R1" s="221" t="str">
        <x:v>readiness_unit</x:v>
      </x:c>
      <x:c r="S1" s="221" t="str">
        <x:v>readiness_status</x:v>
      </x:c>
      <x:c r="T1" s="221" t="str">
        <x:v>readiness_source_id</x:v>
      </x:c>
      <x:c r="U1" s="221" t="str">
        <x:v>V1_value</x:v>
      </x:c>
      <x:c r="V1" s="221" t="str">
        <x:v>V2_value</x:v>
      </x:c>
      <x:c r="W1" s="221" t="str">
        <x:v>row_status</x:v>
      </x:c>
      <x:c r="X1" s="222" t="str">
        <x:v>notes</x:v>
      </x:c>
    </x:row>
    <x:row r="2">
      <x:c r="A2" s="223" t="str">
        <x:v>Tier A</x:v>
      </x:c>
      <x:c r="B2" s="224" t="str">
        <x:v>S1</x:v>
      </x:c>
      <x:c r="C2" s="224" t="str">
        <x:v>Industri Makanan dan Minuman</x:v>
      </x:c>
      <x:c r="D2" s="313" t="str">
        <x:f>IFERROR(100*E2/F2,"")</x:f>
      </x:c>
      <x:c r="E2" s="313" t="str">
        <x:f>IF(COUNTIFS('04_SAKERNAS_AGG'!$E$2:$E$301,A2,'04_SAKERNAS_AGG'!$F$2:$F$301,B2)=0,"",SUMIFS('04_SAKERNAS_AGG'!$K$2:$K$301,'04_SAKERNAS_AGG'!$E$2:$E$301,A2,'04_SAKERNAS_AGG'!$F$2:$F$301,B2,'04_SAKERNAS_AGG'!$J$2:$J$301,1))</x:f>
      </x:c>
      <x:c r="F2" s="313" t="str">
        <x:f>IF(COUNTIFS('04_SAKERNAS_AGG'!$E$2:$E$301,A2,'04_SAKERNAS_AGG'!$F$2:$F$301,B2)=0,"",SUMIFS('04_SAKERNAS_AGG'!$K$2:$K$301,'04_SAKERNAS_AGG'!$E$2:$E$301,A2,'04_SAKERNAS_AGG'!$F$2:$F$301,B2))</x:f>
      </x:c>
      <x:c r="G2" s="285" t="str">
        <x:v>PENDING</x:v>
      </x:c>
      <x:c r="H2" s="285" t="str">
        <x:v>BPS_SAK25_MICRO</x:v>
      </x:c>
      <x:c r="I2" s="305" t="str">
        <x:f>IF(J2&gt;=0.999999,SUMIFS('05_SECTOR_OCC_CROSSWALK'!$N$2:$N$301,'05_SECTOR_OCC_CROSSWALK'!$A$2:$A$301,A2,'05_SECTOR_OCC_CROSSWALK'!$B$2:$B$301,B2),"")</x:f>
      </x:c>
      <x:c r="J2" s="305" t="n">
        <x:f>SUMIFS('05_SECTOR_OCC_CROSSWALK'!$I$2:$I$301,'05_SECTOR_OCC_CROSSWALK'!$A$2:$A$301,A2,'05_SECTOR_OCC_CROSSWALK'!$B$2:$B$301,B2,'05_SECTOR_OCC_CROSSWALK'!$Q$2:$Q$301,"VERIFIED")</x:f>
        <x:v>0</x:v>
      </x:c>
      <x:c r="K2" s="285" t="str">
        <x:v>PENDING</x:v>
      </x:c>
      <x:c r="L2" s="285" t="str">
        <x:v>ILO_AUT16;BPS_SAK25_MICRO</x:v>
      </x:c>
      <x:c r="M2" s="305" t="str">
        <x:f>IF(N2&gt;=0.999999,SUMIFS('05_SECTOR_OCC_CROSSWALK'!$O$2:$O$301,'05_SECTOR_OCC_CROSSWALK'!$A$2:$A$301,A2,'05_SECTOR_OCC_CROSSWALK'!$B$2:$B$301,B2),"")</x:f>
      </x:c>
      <x:c r="N2" s="305" t="n">
        <x:f>SUMIFS('05_SECTOR_OCC_CROSSWALK'!$I$2:$I$301,'05_SECTOR_OCC_CROSSWALK'!$A$2:$A$301,A2,'05_SECTOR_OCC_CROSSWALK'!$B$2:$B$301,B2,'05_SECTOR_OCC_CROSSWALK'!$R$2:$R$301,"VERIFIED")</x:f>
        <x:v>0</x:v>
      </x:c>
      <x:c r="O2" s="285" t="str">
        <x:v>PENDING</x:v>
      </x:c>
      <x:c r="P2" s="285" t="str">
        <x:v>ILO_SCORE25;BPS_SAK25_MICRO</x:v>
      </x:c>
      <x:c r="Q2" s="285"/>
      <x:c r="R2" s="285" t="str"/>
      <x:c r="S2" s="285" t="str">
        <x:v>PENDING</x:v>
      </x:c>
      <x:c r="T2" s="285" t="str"/>
      <x:c r="U2" s="285"/>
      <x:c r="V2" s="285"/>
      <x:c r="W2" s="284" t="str">
        <x:f>IF(AND(D2&lt;&gt;"",I2&lt;&gt;"",M2&lt;&gt;"",G2="VERIFIED",K2="VERIFIED",O2="VERIFIED"),"READY","PENDING")</x:f>
        <x:v>PENDING</x:v>
      </x:c>
      <x:c r="X2" s="292" t="str"/>
    </x:row>
    <x:row r="3">
      <x:c r="A3" s="226" t="str">
        <x:v>Tier A</x:v>
      </x:c>
      <x:c r="B3" s="227" t="str">
        <x:v>S2</x:v>
      </x:c>
      <x:c r="C3" s="227" t="str">
        <x:v>Industri Tekstil dan Pakaian</x:v>
      </x:c>
      <x:c r="D3" s="315" t="str">
        <x:f>IFERROR(100*E3/F3,"")</x:f>
      </x:c>
      <x:c r="E3" s="315" t="str">
        <x:f>IF(COUNTIFS('04_SAKERNAS_AGG'!$E$2:$E$301,A3,'04_SAKERNAS_AGG'!$F$2:$F$301,B3)=0,"",SUMIFS('04_SAKERNAS_AGG'!$K$2:$K$301,'04_SAKERNAS_AGG'!$E$2:$E$301,A3,'04_SAKERNAS_AGG'!$F$2:$F$301,B3,'04_SAKERNAS_AGG'!$J$2:$J$301,1))</x:f>
      </x:c>
      <x:c r="F3" s="315" t="str">
        <x:f>IF(COUNTIFS('04_SAKERNAS_AGG'!$E$2:$E$301,A3,'04_SAKERNAS_AGG'!$F$2:$F$301,B3)=0,"",SUMIFS('04_SAKERNAS_AGG'!$K$2:$K$301,'04_SAKERNAS_AGG'!$E$2:$E$301,A3,'04_SAKERNAS_AGG'!$F$2:$F$301,B3))</x:f>
      </x:c>
      <x:c r="G3" s="235" t="str">
        <x:v>PENDING</x:v>
      </x:c>
      <x:c r="H3" s="235" t="str">
        <x:v>BPS_SAK25_MICRO</x:v>
      </x:c>
      <x:c r="I3" s="308" t="str">
        <x:f>IF(J3&gt;=0.999999,SUMIFS('05_SECTOR_OCC_CROSSWALK'!$N$2:$N$301,'05_SECTOR_OCC_CROSSWALK'!$A$2:$A$301,A3,'05_SECTOR_OCC_CROSSWALK'!$B$2:$B$301,B3),"")</x:f>
      </x:c>
      <x:c r="J3" s="308" t="n">
        <x:f>SUMIFS('05_SECTOR_OCC_CROSSWALK'!$I$2:$I$301,'05_SECTOR_OCC_CROSSWALK'!$A$2:$A$301,A3,'05_SECTOR_OCC_CROSSWALK'!$B$2:$B$301,B3,'05_SECTOR_OCC_CROSSWALK'!$Q$2:$Q$301,"VERIFIED")</x:f>
        <x:v>0</x:v>
      </x:c>
      <x:c r="K3" s="235" t="str">
        <x:v>PENDING</x:v>
      </x:c>
      <x:c r="L3" s="235" t="str">
        <x:v>ILO_AUT16;BPS_SAK25_MICRO</x:v>
      </x:c>
      <x:c r="M3" s="308" t="str">
        <x:f>IF(N3&gt;=0.999999,SUMIFS('05_SECTOR_OCC_CROSSWALK'!$O$2:$O$301,'05_SECTOR_OCC_CROSSWALK'!$A$2:$A$301,A3,'05_SECTOR_OCC_CROSSWALK'!$B$2:$B$301,B3),"")</x:f>
      </x:c>
      <x:c r="N3" s="308" t="n">
        <x:f>SUMIFS('05_SECTOR_OCC_CROSSWALK'!$I$2:$I$301,'05_SECTOR_OCC_CROSSWALK'!$A$2:$A$301,A3,'05_SECTOR_OCC_CROSSWALK'!$B$2:$B$301,B3,'05_SECTOR_OCC_CROSSWALK'!$R$2:$R$301,"VERIFIED")</x:f>
        <x:v>0</x:v>
      </x:c>
      <x:c r="O3" s="235" t="str">
        <x:v>PENDING</x:v>
      </x:c>
      <x:c r="P3" s="235" t="str">
        <x:v>ILO_SCORE25;BPS_SAK25_MICRO</x:v>
      </x:c>
      <x:c r="Q3" s="235"/>
      <x:c r="R3" s="235" t="str"/>
      <x:c r="S3" s="235" t="str">
        <x:v>PENDING</x:v>
      </x:c>
      <x:c r="T3" s="235" t="str"/>
      <x:c r="U3" s="235"/>
      <x:c r="V3" s="235"/>
      <x:c r="W3" s="233" t="str">
        <x:f>IF(AND(D3&lt;&gt;"",I3&lt;&gt;"",M3&lt;&gt;"",G3="VERIFIED",K3="VERIFIED",O3="VERIFIED"),"READY","PENDING")</x:f>
        <x:v>PENDING</x:v>
      </x:c>
      <x:c r="X3" s="297" t="str"/>
    </x:row>
    <x:row r="4">
      <x:c r="A4" s="226" t="str">
        <x:v>Tier A</x:v>
      </x:c>
      <x:c r="B4" s="227" t="str">
        <x:v>S3</x:v>
      </x:c>
      <x:c r="C4" s="227" t="str">
        <x:v>Industri Otomotif</x:v>
      </x:c>
      <x:c r="D4" s="315" t="str">
        <x:f>IFERROR(100*E4/F4,"")</x:f>
      </x:c>
      <x:c r="E4" s="315" t="str">
        <x:f>IF(COUNTIFS('04_SAKERNAS_AGG'!$E$2:$E$301,A4,'04_SAKERNAS_AGG'!$F$2:$F$301,B4)=0,"",SUMIFS('04_SAKERNAS_AGG'!$K$2:$K$301,'04_SAKERNAS_AGG'!$E$2:$E$301,A4,'04_SAKERNAS_AGG'!$F$2:$F$301,B4,'04_SAKERNAS_AGG'!$J$2:$J$301,1))</x:f>
      </x:c>
      <x:c r="F4" s="315" t="str">
        <x:f>IF(COUNTIFS('04_SAKERNAS_AGG'!$E$2:$E$301,A4,'04_SAKERNAS_AGG'!$F$2:$F$301,B4)=0,"",SUMIFS('04_SAKERNAS_AGG'!$K$2:$K$301,'04_SAKERNAS_AGG'!$E$2:$E$301,A4,'04_SAKERNAS_AGG'!$F$2:$F$301,B4))</x:f>
      </x:c>
      <x:c r="G4" s="235" t="str">
        <x:v>PENDING</x:v>
      </x:c>
      <x:c r="H4" s="235" t="str">
        <x:v>BPS_SAK25_MICRO</x:v>
      </x:c>
      <x:c r="I4" s="308" t="str">
        <x:f>IF(J4&gt;=0.999999,SUMIFS('05_SECTOR_OCC_CROSSWALK'!$N$2:$N$301,'05_SECTOR_OCC_CROSSWALK'!$A$2:$A$301,A4,'05_SECTOR_OCC_CROSSWALK'!$B$2:$B$301,B4),"")</x:f>
      </x:c>
      <x:c r="J4" s="308" t="n">
        <x:f>SUMIFS('05_SECTOR_OCC_CROSSWALK'!$I$2:$I$301,'05_SECTOR_OCC_CROSSWALK'!$A$2:$A$301,A4,'05_SECTOR_OCC_CROSSWALK'!$B$2:$B$301,B4,'05_SECTOR_OCC_CROSSWALK'!$Q$2:$Q$301,"VERIFIED")</x:f>
        <x:v>0</x:v>
      </x:c>
      <x:c r="K4" s="235" t="str">
        <x:v>PENDING</x:v>
      </x:c>
      <x:c r="L4" s="235" t="str">
        <x:v>ILO_AUT16;BPS_SAK25_MICRO</x:v>
      </x:c>
      <x:c r="M4" s="308" t="str">
        <x:f>IF(N4&gt;=0.999999,SUMIFS('05_SECTOR_OCC_CROSSWALK'!$O$2:$O$301,'05_SECTOR_OCC_CROSSWALK'!$A$2:$A$301,A4,'05_SECTOR_OCC_CROSSWALK'!$B$2:$B$301,B4),"")</x:f>
      </x:c>
      <x:c r="N4" s="308" t="n">
        <x:f>SUMIFS('05_SECTOR_OCC_CROSSWALK'!$I$2:$I$301,'05_SECTOR_OCC_CROSSWALK'!$A$2:$A$301,A4,'05_SECTOR_OCC_CROSSWALK'!$B$2:$B$301,B4,'05_SECTOR_OCC_CROSSWALK'!$R$2:$R$301,"VERIFIED")</x:f>
        <x:v>0</x:v>
      </x:c>
      <x:c r="O4" s="235" t="str">
        <x:v>PENDING</x:v>
      </x:c>
      <x:c r="P4" s="235" t="str">
        <x:v>ILO_SCORE25;BPS_SAK25_MICRO</x:v>
      </x:c>
      <x:c r="Q4" s="235"/>
      <x:c r="R4" s="235" t="str"/>
      <x:c r="S4" s="235" t="str">
        <x:v>PENDING</x:v>
      </x:c>
      <x:c r="T4" s="235" t="str"/>
      <x:c r="U4" s="235"/>
      <x:c r="V4" s="235"/>
      <x:c r="W4" s="233" t="str">
        <x:f>IF(AND(D4&lt;&gt;"",I4&lt;&gt;"",M4&lt;&gt;"",G4="VERIFIED",K4="VERIFIED",O4="VERIFIED"),"READY","PENDING")</x:f>
        <x:v>PENDING</x:v>
      </x:c>
      <x:c r="X4" s="297" t="str"/>
    </x:row>
    <x:row r="5">
      <x:c r="A5" s="226" t="str">
        <x:v>Tier A</x:v>
      </x:c>
      <x:c r="B5" s="227" t="str">
        <x:v>S4</x:v>
      </x:c>
      <x:c r="C5" s="227" t="str">
        <x:v>Industri Kimia dan Farmasi/Alat Kesehatan</x:v>
      </x:c>
      <x:c r="D5" s="315" t="str">
        <x:f>IFERROR(100*E5/F5,"")</x:f>
      </x:c>
      <x:c r="E5" s="315" t="str">
        <x:f>IF(COUNTIFS('04_SAKERNAS_AGG'!$E$2:$E$301,A5,'04_SAKERNAS_AGG'!$F$2:$F$301,B5)=0,"",SUMIFS('04_SAKERNAS_AGG'!$K$2:$K$301,'04_SAKERNAS_AGG'!$E$2:$E$301,A5,'04_SAKERNAS_AGG'!$F$2:$F$301,B5,'04_SAKERNAS_AGG'!$J$2:$J$301,1))</x:f>
      </x:c>
      <x:c r="F5" s="315" t="str">
        <x:f>IF(COUNTIFS('04_SAKERNAS_AGG'!$E$2:$E$301,A5,'04_SAKERNAS_AGG'!$F$2:$F$301,B5)=0,"",SUMIFS('04_SAKERNAS_AGG'!$K$2:$K$301,'04_SAKERNAS_AGG'!$E$2:$E$301,A5,'04_SAKERNAS_AGG'!$F$2:$F$301,B5))</x:f>
      </x:c>
      <x:c r="G5" s="235" t="str">
        <x:v>PENDING</x:v>
      </x:c>
      <x:c r="H5" s="235" t="str">
        <x:v>BPS_SAK25_MICRO</x:v>
      </x:c>
      <x:c r="I5" s="308" t="str">
        <x:f>IF(J5&gt;=0.999999,SUMIFS('05_SECTOR_OCC_CROSSWALK'!$N$2:$N$301,'05_SECTOR_OCC_CROSSWALK'!$A$2:$A$301,A5,'05_SECTOR_OCC_CROSSWALK'!$B$2:$B$301,B5),"")</x:f>
      </x:c>
      <x:c r="J5" s="308" t="n">
        <x:f>SUMIFS('05_SECTOR_OCC_CROSSWALK'!$I$2:$I$301,'05_SECTOR_OCC_CROSSWALK'!$A$2:$A$301,A5,'05_SECTOR_OCC_CROSSWALK'!$B$2:$B$301,B5,'05_SECTOR_OCC_CROSSWALK'!$Q$2:$Q$301,"VERIFIED")</x:f>
        <x:v>0</x:v>
      </x:c>
      <x:c r="K5" s="235" t="str">
        <x:v>PENDING</x:v>
      </x:c>
      <x:c r="L5" s="235" t="str">
        <x:v>ILO_AUT16;BPS_SAK25_MICRO</x:v>
      </x:c>
      <x:c r="M5" s="308" t="str">
        <x:f>IF(N5&gt;=0.999999,SUMIFS('05_SECTOR_OCC_CROSSWALK'!$O$2:$O$301,'05_SECTOR_OCC_CROSSWALK'!$A$2:$A$301,A5,'05_SECTOR_OCC_CROSSWALK'!$B$2:$B$301,B5),"")</x:f>
      </x:c>
      <x:c r="N5" s="308" t="n">
        <x:f>SUMIFS('05_SECTOR_OCC_CROSSWALK'!$I$2:$I$301,'05_SECTOR_OCC_CROSSWALK'!$A$2:$A$301,A5,'05_SECTOR_OCC_CROSSWALK'!$B$2:$B$301,B5,'05_SECTOR_OCC_CROSSWALK'!$R$2:$R$301,"VERIFIED")</x:f>
        <x:v>0</x:v>
      </x:c>
      <x:c r="O5" s="235" t="str">
        <x:v>PENDING</x:v>
      </x:c>
      <x:c r="P5" s="235" t="str">
        <x:v>ILO_SCORE25;BPS_SAK25_MICRO</x:v>
      </x:c>
      <x:c r="Q5" s="235"/>
      <x:c r="R5" s="235" t="str"/>
      <x:c r="S5" s="235" t="str">
        <x:v>PENDING</x:v>
      </x:c>
      <x:c r="T5" s="235" t="str"/>
      <x:c r="U5" s="235"/>
      <x:c r="V5" s="235"/>
      <x:c r="W5" s="233" t="str">
        <x:f>IF(AND(D5&lt;&gt;"",I5&lt;&gt;"",M5&lt;&gt;"",G5="VERIFIED",K5="VERIFIED",O5="VERIFIED"),"READY","PENDING")</x:f>
        <x:v>PENDING</x:v>
      </x:c>
      <x:c r="X5" s="297" t="str"/>
    </x:row>
    <x:row r="6">
      <x:c r="A6" s="226" t="str">
        <x:v>Tier A</x:v>
      </x:c>
      <x:c r="B6" s="227" t="str">
        <x:v>S5</x:v>
      </x:c>
      <x:c r="C6" s="227" t="str">
        <x:v>Industri Elektronik</x:v>
      </x:c>
      <x:c r="D6" s="315" t="str">
        <x:f>IFERROR(100*E6/F6,"")</x:f>
      </x:c>
      <x:c r="E6" s="315" t="str">
        <x:f>IF(COUNTIFS('04_SAKERNAS_AGG'!$E$2:$E$301,A6,'04_SAKERNAS_AGG'!$F$2:$F$301,B6)=0,"",SUMIFS('04_SAKERNAS_AGG'!$K$2:$K$301,'04_SAKERNAS_AGG'!$E$2:$E$301,A6,'04_SAKERNAS_AGG'!$F$2:$F$301,B6,'04_SAKERNAS_AGG'!$J$2:$J$301,1))</x:f>
      </x:c>
      <x:c r="F6" s="315" t="str">
        <x:f>IF(COUNTIFS('04_SAKERNAS_AGG'!$E$2:$E$301,A6,'04_SAKERNAS_AGG'!$F$2:$F$301,B6)=0,"",SUMIFS('04_SAKERNAS_AGG'!$K$2:$K$301,'04_SAKERNAS_AGG'!$E$2:$E$301,A6,'04_SAKERNAS_AGG'!$F$2:$F$301,B6))</x:f>
      </x:c>
      <x:c r="G6" s="235" t="str">
        <x:v>PENDING</x:v>
      </x:c>
      <x:c r="H6" s="235" t="str">
        <x:v>BPS_SAK25_MICRO</x:v>
      </x:c>
      <x:c r="I6" s="308" t="str">
        <x:f>IF(J6&gt;=0.999999,SUMIFS('05_SECTOR_OCC_CROSSWALK'!$N$2:$N$301,'05_SECTOR_OCC_CROSSWALK'!$A$2:$A$301,A6,'05_SECTOR_OCC_CROSSWALK'!$B$2:$B$301,B6),"")</x:f>
      </x:c>
      <x:c r="J6" s="308" t="n">
        <x:f>SUMIFS('05_SECTOR_OCC_CROSSWALK'!$I$2:$I$301,'05_SECTOR_OCC_CROSSWALK'!$A$2:$A$301,A6,'05_SECTOR_OCC_CROSSWALK'!$B$2:$B$301,B6,'05_SECTOR_OCC_CROSSWALK'!$Q$2:$Q$301,"VERIFIED")</x:f>
        <x:v>0</x:v>
      </x:c>
      <x:c r="K6" s="235" t="str">
        <x:v>PENDING</x:v>
      </x:c>
      <x:c r="L6" s="235" t="str">
        <x:v>ILO_AUT16;BPS_SAK25_MICRO</x:v>
      </x:c>
      <x:c r="M6" s="308" t="str">
        <x:f>IF(N6&gt;=0.999999,SUMIFS('05_SECTOR_OCC_CROSSWALK'!$O$2:$O$301,'05_SECTOR_OCC_CROSSWALK'!$A$2:$A$301,A6,'05_SECTOR_OCC_CROSSWALK'!$B$2:$B$301,B6),"")</x:f>
      </x:c>
      <x:c r="N6" s="308" t="n">
        <x:f>SUMIFS('05_SECTOR_OCC_CROSSWALK'!$I$2:$I$301,'05_SECTOR_OCC_CROSSWALK'!$A$2:$A$301,A6,'05_SECTOR_OCC_CROSSWALK'!$B$2:$B$301,B6,'05_SECTOR_OCC_CROSSWALK'!$R$2:$R$301,"VERIFIED")</x:f>
        <x:v>0</x:v>
      </x:c>
      <x:c r="O6" s="235" t="str">
        <x:v>PENDING</x:v>
      </x:c>
      <x:c r="P6" s="235" t="str">
        <x:v>ILO_SCORE25;BPS_SAK25_MICRO</x:v>
      </x:c>
      <x:c r="Q6" s="235"/>
      <x:c r="R6" s="235" t="str"/>
      <x:c r="S6" s="235" t="str">
        <x:v>PENDING</x:v>
      </x:c>
      <x:c r="T6" s="235" t="str"/>
      <x:c r="U6" s="235"/>
      <x:c r="V6" s="235"/>
      <x:c r="W6" s="233" t="str">
        <x:f>IF(AND(D6&lt;&gt;"",I6&lt;&gt;"",M6&lt;&gt;"",G6="VERIFIED",K6="VERIFIED",O6="VERIFIED"),"READY","PENDING")</x:f>
        <x:v>PENDING</x:v>
      </x:c>
      <x:c r="X6" s="297" t="str"/>
    </x:row>
    <x:row r="7">
      <x:c r="A7" s="226" t="str">
        <x:v>Tier A</x:v>
      </x:c>
      <x:c r="B7" s="227" t="str">
        <x:v>S6</x:v>
      </x:c>
      <x:c r="C7" s="227" t="str">
        <x:v>Industri Pengolahan Lainnya</x:v>
      </x:c>
      <x:c r="D7" s="315" t="str">
        <x:f>IFERROR(100*E7/F7,"")</x:f>
      </x:c>
      <x:c r="E7" s="315" t="str">
        <x:f>IF(COUNTIFS('04_SAKERNAS_AGG'!$E$2:$E$301,A7,'04_SAKERNAS_AGG'!$F$2:$F$301,B7)=0,"",SUMIFS('04_SAKERNAS_AGG'!$K$2:$K$301,'04_SAKERNAS_AGG'!$E$2:$E$301,A7,'04_SAKERNAS_AGG'!$F$2:$F$301,B7,'04_SAKERNAS_AGG'!$J$2:$J$301,1))</x:f>
      </x:c>
      <x:c r="F7" s="315" t="str">
        <x:f>IF(COUNTIFS('04_SAKERNAS_AGG'!$E$2:$E$301,A7,'04_SAKERNAS_AGG'!$F$2:$F$301,B7)=0,"",SUMIFS('04_SAKERNAS_AGG'!$K$2:$K$301,'04_SAKERNAS_AGG'!$E$2:$E$301,A7,'04_SAKERNAS_AGG'!$F$2:$F$301,B7))</x:f>
      </x:c>
      <x:c r="G7" s="235" t="str">
        <x:v>PENDING</x:v>
      </x:c>
      <x:c r="H7" s="235" t="str">
        <x:v>BPS_SAK25_MICRO</x:v>
      </x:c>
      <x:c r="I7" s="308" t="str">
        <x:f>IF(J7&gt;=0.999999,SUMIFS('05_SECTOR_OCC_CROSSWALK'!$N$2:$N$301,'05_SECTOR_OCC_CROSSWALK'!$A$2:$A$301,A7,'05_SECTOR_OCC_CROSSWALK'!$B$2:$B$301,B7),"")</x:f>
      </x:c>
      <x:c r="J7" s="308" t="n">
        <x:f>SUMIFS('05_SECTOR_OCC_CROSSWALK'!$I$2:$I$301,'05_SECTOR_OCC_CROSSWALK'!$A$2:$A$301,A7,'05_SECTOR_OCC_CROSSWALK'!$B$2:$B$301,B7,'05_SECTOR_OCC_CROSSWALK'!$Q$2:$Q$301,"VERIFIED")</x:f>
        <x:v>0</x:v>
      </x:c>
      <x:c r="K7" s="235" t="str">
        <x:v>PENDING</x:v>
      </x:c>
      <x:c r="L7" s="235" t="str">
        <x:v>ILO_AUT16;BPS_SAK25_MICRO</x:v>
      </x:c>
      <x:c r="M7" s="308" t="str">
        <x:f>IF(N7&gt;=0.999999,SUMIFS('05_SECTOR_OCC_CROSSWALK'!$O$2:$O$301,'05_SECTOR_OCC_CROSSWALK'!$A$2:$A$301,A7,'05_SECTOR_OCC_CROSSWALK'!$B$2:$B$301,B7),"")</x:f>
      </x:c>
      <x:c r="N7" s="308" t="n">
        <x:f>SUMIFS('05_SECTOR_OCC_CROSSWALK'!$I$2:$I$301,'05_SECTOR_OCC_CROSSWALK'!$A$2:$A$301,A7,'05_SECTOR_OCC_CROSSWALK'!$B$2:$B$301,B7,'05_SECTOR_OCC_CROSSWALK'!$R$2:$R$301,"VERIFIED")</x:f>
        <x:v>0</x:v>
      </x:c>
      <x:c r="O7" s="235" t="str">
        <x:v>PENDING</x:v>
      </x:c>
      <x:c r="P7" s="235" t="str">
        <x:v>ILO_SCORE25;BPS_SAK25_MICRO</x:v>
      </x:c>
      <x:c r="Q7" s="235"/>
      <x:c r="R7" s="235" t="str"/>
      <x:c r="S7" s="235" t="str">
        <x:v>PENDING</x:v>
      </x:c>
      <x:c r="T7" s="235" t="str"/>
      <x:c r="U7" s="235"/>
      <x:c r="V7" s="235"/>
      <x:c r="W7" s="233" t="str">
        <x:f>IF(AND(D7&lt;&gt;"",I7&lt;&gt;"",M7&lt;&gt;"",G7="VERIFIED",K7="VERIFIED",O7="VERIFIED"),"READY","PENDING")</x:f>
        <x:v>PENDING</x:v>
      </x:c>
      <x:c r="X7" s="297" t="str"/>
    </x:row>
    <x:row r="8">
      <x:c r="A8" s="226" t="str">
        <x:v>Tier A</x:v>
      </x:c>
      <x:c r="B8" s="227" t="str">
        <x:v>S7</x:v>
      </x:c>
      <x:c r="C8" s="227" t="str">
        <x:v>Pertanian, Kehutanan, dan Perikanan</x:v>
      </x:c>
      <x:c r="D8" s="315" t="n">
        <x:f>IFERROR(100*E8/F8,"")</x:f>
        <x:v>97.85001943287334</x:v>
      </x:c>
      <x:c r="E8" s="315" t="n">
        <x:f>IF(COUNTIFS('04_SAKERNAS_AGG'!$E$2:$E$301,A8,'04_SAKERNAS_AGG'!$F$2:$F$301,B8)=0,"",SUMIFS('04_SAKERNAS_AGG'!$K$2:$K$301,'04_SAKERNAS_AGG'!$E$2:$E$301,A8,'04_SAKERNAS_AGG'!$F$2:$F$301,B8,'04_SAKERNAS_AGG'!$J$2:$J$301,1))</x:f>
        <x:v>40360312</x:v>
      </x:c>
      <x:c r="F8" s="315" t="n">
        <x:f>IF(COUNTIFS('04_SAKERNAS_AGG'!$E$2:$E$301,A8,'04_SAKERNAS_AGG'!$F$2:$F$301,B8)=0,"",SUMIFS('04_SAKERNAS_AGG'!$K$2:$K$301,'04_SAKERNAS_AGG'!$E$2:$E$301,A8,'04_SAKERNAS_AGG'!$F$2:$F$301,B8))</x:f>
        <x:v>41247117</x:v>
      </x:c>
      <x:c r="G8" s="235" t="str">
        <x:v>VERIFIED</x:v>
      </x:c>
      <x:c r="H8" s="235" t="str">
        <x:v>BPS_SAK25_PUB</x:v>
      </x:c>
      <x:c r="I8" s="308" t="str">
        <x:f>IF(J8&gt;=0.999999,SUMIFS('05_SECTOR_OCC_CROSSWALK'!$N$2:$N$301,'05_SECTOR_OCC_CROSSWALK'!$A$2:$A$301,A8,'05_SECTOR_OCC_CROSSWALK'!$B$2:$B$301,B8),"")</x:f>
      </x:c>
      <x:c r="J8" s="308" t="n">
        <x:f>SUMIFS('05_SECTOR_OCC_CROSSWALK'!$I$2:$I$301,'05_SECTOR_OCC_CROSSWALK'!$A$2:$A$301,A8,'05_SECTOR_OCC_CROSSWALK'!$B$2:$B$301,B8,'05_SECTOR_OCC_CROSSWALK'!$Q$2:$Q$301,"VERIFIED")</x:f>
        <x:v>0</x:v>
      </x:c>
      <x:c r="K8" s="235" t="str">
        <x:v>PENDING</x:v>
      </x:c>
      <x:c r="L8" s="235" t="str">
        <x:v>ILO_AUT16;BPS_SAK25_MICRO</x:v>
      </x:c>
      <x:c r="M8" s="308" t="str">
        <x:f>IF(N8&gt;=0.999999,SUMIFS('05_SECTOR_OCC_CROSSWALK'!$O$2:$O$301,'05_SECTOR_OCC_CROSSWALK'!$A$2:$A$301,A8,'05_SECTOR_OCC_CROSSWALK'!$B$2:$B$301,B8),"")</x:f>
      </x:c>
      <x:c r="N8" s="308" t="n">
        <x:f>SUMIFS('05_SECTOR_OCC_CROSSWALK'!$I$2:$I$301,'05_SECTOR_OCC_CROSSWALK'!$A$2:$A$301,A8,'05_SECTOR_OCC_CROSSWALK'!$B$2:$B$301,B8,'05_SECTOR_OCC_CROSSWALK'!$R$2:$R$301,"VERIFIED")</x:f>
        <x:v>0</x:v>
      </x:c>
      <x:c r="O8" s="235" t="str">
        <x:v>PENDING</x:v>
      </x:c>
      <x:c r="P8" s="235" t="str">
        <x:v>ILO_SCORE25;BPS_SAK25_MICRO</x:v>
      </x:c>
      <x:c r="Q8" s="235"/>
      <x:c r="R8" s="235" t="str"/>
      <x:c r="S8" s="235" t="str">
        <x:v>PENDING</x:v>
      </x:c>
      <x:c r="T8" s="235" t="str"/>
      <x:c r="U8" s="235"/>
      <x:c r="V8" s="235"/>
      <x:c r="W8" s="233" t="str">
        <x:f>IF(AND(D8&lt;&gt;"",I8&lt;&gt;"",M8&lt;&gt;"",G8="VERIFIED",K8="VERIFIED",O8="VERIFIED"),"READY","PENDING")</x:f>
        <x:v>PENDING</x:v>
      </x:c>
      <x:c r="X8" s="297" t="str">
        <x:v>X1 dari BPS Tabel 69; X2/X3 tetap menunggu sektor × okupasi.</x:v>
      </x:c>
    </x:row>
    <x:row r="9">
      <x:c r="A9" s="226" t="str">
        <x:v>Tier A</x:v>
      </x:c>
      <x:c r="B9" s="227" t="str">
        <x:v>S8</x:v>
      </x:c>
      <x:c r="C9" s="227" t="str">
        <x:v>Perdagangan Besar dan Eceran</x:v>
      </x:c>
      <x:c r="D9" s="315" t="n">
        <x:f>IFERROR(100*E9/F9,"")</x:f>
        <x:v>90.78497277815515</x:v>
      </x:c>
      <x:c r="E9" s="315" t="n">
        <x:f>IF(COUNTIFS('04_SAKERNAS_AGG'!$E$2:$E$301,A9,'04_SAKERNAS_AGG'!$F$2:$F$301,B9)=0,"",SUMIFS('04_SAKERNAS_AGG'!$K$2:$K$301,'04_SAKERNAS_AGG'!$E$2:$E$301,A9,'04_SAKERNAS_AGG'!$F$2:$F$301,B9,'04_SAKERNAS_AGG'!$J$2:$J$301,1))</x:f>
        <x:v>24923155</x:v>
      </x:c>
      <x:c r="F9" s="315" t="n">
        <x:f>IF(COUNTIFS('04_SAKERNAS_AGG'!$E$2:$E$301,A9,'04_SAKERNAS_AGG'!$F$2:$F$301,B9)=0,"",SUMIFS('04_SAKERNAS_AGG'!$K$2:$K$301,'04_SAKERNAS_AGG'!$E$2:$E$301,A9,'04_SAKERNAS_AGG'!$F$2:$F$301,B9))</x:f>
        <x:v>27452952</x:v>
      </x:c>
      <x:c r="G9" s="235" t="str">
        <x:v>VERIFIED</x:v>
      </x:c>
      <x:c r="H9" s="235" t="str">
        <x:v>BPS_SAK25_PUB</x:v>
      </x:c>
      <x:c r="I9" s="308" t="str">
        <x:f>IF(J9&gt;=0.999999,SUMIFS('05_SECTOR_OCC_CROSSWALK'!$N$2:$N$301,'05_SECTOR_OCC_CROSSWALK'!$A$2:$A$301,A9,'05_SECTOR_OCC_CROSSWALK'!$B$2:$B$301,B9),"")</x:f>
      </x:c>
      <x:c r="J9" s="308" t="n">
        <x:f>SUMIFS('05_SECTOR_OCC_CROSSWALK'!$I$2:$I$301,'05_SECTOR_OCC_CROSSWALK'!$A$2:$A$301,A9,'05_SECTOR_OCC_CROSSWALK'!$B$2:$B$301,B9,'05_SECTOR_OCC_CROSSWALK'!$Q$2:$Q$301,"VERIFIED")</x:f>
        <x:v>0</x:v>
      </x:c>
      <x:c r="K9" s="235" t="str">
        <x:v>PENDING</x:v>
      </x:c>
      <x:c r="L9" s="235" t="str">
        <x:v>ILO_AUT16;BPS_SAK25_MICRO</x:v>
      </x:c>
      <x:c r="M9" s="308" t="str">
        <x:f>IF(N9&gt;=0.999999,SUMIFS('05_SECTOR_OCC_CROSSWALK'!$O$2:$O$301,'05_SECTOR_OCC_CROSSWALK'!$A$2:$A$301,A9,'05_SECTOR_OCC_CROSSWALK'!$B$2:$B$301,B9),"")</x:f>
      </x:c>
      <x:c r="N9" s="308" t="n">
        <x:f>SUMIFS('05_SECTOR_OCC_CROSSWALK'!$I$2:$I$301,'05_SECTOR_OCC_CROSSWALK'!$A$2:$A$301,A9,'05_SECTOR_OCC_CROSSWALK'!$B$2:$B$301,B9,'05_SECTOR_OCC_CROSSWALK'!$R$2:$R$301,"VERIFIED")</x:f>
        <x:v>0</x:v>
      </x:c>
      <x:c r="O9" s="235" t="str">
        <x:v>PENDING</x:v>
      </x:c>
      <x:c r="P9" s="235" t="str">
        <x:v>ILO_SCORE25;BPS_SAK25_MICRO</x:v>
      </x:c>
      <x:c r="Q9" s="235"/>
      <x:c r="R9" s="235" t="str"/>
      <x:c r="S9" s="235" t="str">
        <x:v>PENDING</x:v>
      </x:c>
      <x:c r="T9" s="235" t="str"/>
      <x:c r="U9" s="235"/>
      <x:c r="V9" s="235"/>
      <x:c r="W9" s="233" t="str">
        <x:f>IF(AND(D9&lt;&gt;"",I9&lt;&gt;"",M9&lt;&gt;"",G9="VERIFIED",K9="VERIFIED",O9="VERIFIED"),"READY","PENDING")</x:f>
        <x:v>PENDING</x:v>
      </x:c>
      <x:c r="X9" s="297" t="str">
        <x:v>X1 dari BPS Tabel 69; X2/X3 tetap menunggu sektor × okupasi.</x:v>
      </x:c>
    </x:row>
    <x:row r="10">
      <x:c r="A10" s="226" t="str">
        <x:v>Tier A</x:v>
      </x:c>
      <x:c r="B10" s="227" t="str">
        <x:v>S9</x:v>
      </x:c>
      <x:c r="C10" s="227" t="str">
        <x:v>Transportasi dan Pergudangan</x:v>
      </x:c>
      <x:c r="D10" s="315" t="n">
        <x:f>IFERROR(100*E10/F10,"")</x:f>
        <x:v>90.84027543008044</x:v>
      </x:c>
      <x:c r="E10" s="315" t="n">
        <x:f>IF(COUNTIFS('04_SAKERNAS_AGG'!$E$2:$E$301,A10,'04_SAKERNAS_AGG'!$F$2:$F$301,B10)=0,"",SUMIFS('04_SAKERNAS_AGG'!$K$2:$K$301,'04_SAKERNAS_AGG'!$E$2:$E$301,A10,'04_SAKERNAS_AGG'!$F$2:$F$301,B10,'04_SAKERNAS_AGG'!$J$2:$J$301,1))</x:f>
        <x:v>5696521</x:v>
      </x:c>
      <x:c r="F10" s="315" t="n">
        <x:f>IF(COUNTIFS('04_SAKERNAS_AGG'!$E$2:$E$301,A10,'04_SAKERNAS_AGG'!$F$2:$F$301,B10)=0,"",SUMIFS('04_SAKERNAS_AGG'!$K$2:$K$301,'04_SAKERNAS_AGG'!$E$2:$E$301,A10,'04_SAKERNAS_AGG'!$F$2:$F$301,B10))</x:f>
        <x:v>6270920</x:v>
      </x:c>
      <x:c r="G10" s="235" t="str">
        <x:v>VERIFIED</x:v>
      </x:c>
      <x:c r="H10" s="235" t="str">
        <x:v>BPS_SAK25_PUB</x:v>
      </x:c>
      <x:c r="I10" s="308" t="str">
        <x:f>IF(J10&gt;=0.999999,SUMIFS('05_SECTOR_OCC_CROSSWALK'!$N$2:$N$301,'05_SECTOR_OCC_CROSSWALK'!$A$2:$A$301,A10,'05_SECTOR_OCC_CROSSWALK'!$B$2:$B$301,B10),"")</x:f>
      </x:c>
      <x:c r="J10" s="308" t="n">
        <x:f>SUMIFS('05_SECTOR_OCC_CROSSWALK'!$I$2:$I$301,'05_SECTOR_OCC_CROSSWALK'!$A$2:$A$301,A10,'05_SECTOR_OCC_CROSSWALK'!$B$2:$B$301,B10,'05_SECTOR_OCC_CROSSWALK'!$Q$2:$Q$301,"VERIFIED")</x:f>
        <x:v>0</x:v>
      </x:c>
      <x:c r="K10" s="235" t="str">
        <x:v>PENDING</x:v>
      </x:c>
      <x:c r="L10" s="235" t="str">
        <x:v>ILO_AUT16;BPS_SAK25_MICRO</x:v>
      </x:c>
      <x:c r="M10" s="308" t="str">
        <x:f>IF(N10&gt;=0.999999,SUMIFS('05_SECTOR_OCC_CROSSWALK'!$O$2:$O$301,'05_SECTOR_OCC_CROSSWALK'!$A$2:$A$301,A10,'05_SECTOR_OCC_CROSSWALK'!$B$2:$B$301,B10),"")</x:f>
      </x:c>
      <x:c r="N10" s="308" t="n">
        <x:f>SUMIFS('05_SECTOR_OCC_CROSSWALK'!$I$2:$I$301,'05_SECTOR_OCC_CROSSWALK'!$A$2:$A$301,A10,'05_SECTOR_OCC_CROSSWALK'!$B$2:$B$301,B10,'05_SECTOR_OCC_CROSSWALK'!$R$2:$R$301,"VERIFIED")</x:f>
        <x:v>0</x:v>
      </x:c>
      <x:c r="O10" s="235" t="str">
        <x:v>PENDING</x:v>
      </x:c>
      <x:c r="P10" s="235" t="str">
        <x:v>ILO_SCORE25;BPS_SAK25_MICRO</x:v>
      </x:c>
      <x:c r="Q10" s="235"/>
      <x:c r="R10" s="235" t="str"/>
      <x:c r="S10" s="235" t="str">
        <x:v>PENDING</x:v>
      </x:c>
      <x:c r="T10" s="235" t="str"/>
      <x:c r="U10" s="235"/>
      <x:c r="V10" s="235"/>
      <x:c r="W10" s="233" t="str">
        <x:f>IF(AND(D10&lt;&gt;"",I10&lt;&gt;"",M10&lt;&gt;"",G10="VERIFIED",K10="VERIFIED",O10="VERIFIED"),"READY","PENDING")</x:f>
        <x:v>PENDING</x:v>
      </x:c>
      <x:c r="X10" s="297" t="str">
        <x:v>X1 dari BPS Tabel 69; X2/X3 tetap menunggu sektor × okupasi.</x:v>
      </x:c>
    </x:row>
    <x:row r="11">
      <x:c r="A11" s="226" t="str">
        <x:v>Tier A</x:v>
      </x:c>
      <x:c r="B11" s="227" t="str">
        <x:v>S10</x:v>
      </x:c>
      <x:c r="C11" s="227" t="str">
        <x:v>Penyediaan Akomodasi dan Makan Minum</x:v>
      </x:c>
      <x:c r="D11" s="315" t="n">
        <x:f>IFERROR(100*E11/F11,"")</x:f>
        <x:v>93.03385506311311</x:v>
      </x:c>
      <x:c r="E11" s="315" t="n">
        <x:f>IF(COUNTIFS('04_SAKERNAS_AGG'!$E$2:$E$301,A11,'04_SAKERNAS_AGG'!$F$2:$F$301,B11)=0,"",SUMIFS('04_SAKERNAS_AGG'!$K$2:$K$301,'04_SAKERNAS_AGG'!$E$2:$E$301,A11,'04_SAKERNAS_AGG'!$F$2:$F$301,B11,'04_SAKERNAS_AGG'!$J$2:$J$301,1))</x:f>
        <x:v>10878057</x:v>
      </x:c>
      <x:c r="F11" s="315" t="n">
        <x:f>IF(COUNTIFS('04_SAKERNAS_AGG'!$E$2:$E$301,A11,'04_SAKERNAS_AGG'!$F$2:$F$301,B11)=0,"",SUMIFS('04_SAKERNAS_AGG'!$K$2:$K$301,'04_SAKERNAS_AGG'!$E$2:$E$301,A11,'04_SAKERNAS_AGG'!$F$2:$F$301,B11))</x:f>
        <x:v>11692579</x:v>
      </x:c>
      <x:c r="G11" s="235" t="str">
        <x:v>VERIFIED</x:v>
      </x:c>
      <x:c r="H11" s="235" t="str">
        <x:v>BPS_SAK25_PUB</x:v>
      </x:c>
      <x:c r="I11" s="308" t="str">
        <x:f>IF(J11&gt;=0.999999,SUMIFS('05_SECTOR_OCC_CROSSWALK'!$N$2:$N$301,'05_SECTOR_OCC_CROSSWALK'!$A$2:$A$301,A11,'05_SECTOR_OCC_CROSSWALK'!$B$2:$B$301,B11),"")</x:f>
      </x:c>
      <x:c r="J11" s="308" t="n">
        <x:f>SUMIFS('05_SECTOR_OCC_CROSSWALK'!$I$2:$I$301,'05_SECTOR_OCC_CROSSWALK'!$A$2:$A$301,A11,'05_SECTOR_OCC_CROSSWALK'!$B$2:$B$301,B11,'05_SECTOR_OCC_CROSSWALK'!$Q$2:$Q$301,"VERIFIED")</x:f>
        <x:v>0</x:v>
      </x:c>
      <x:c r="K11" s="235" t="str">
        <x:v>PENDING</x:v>
      </x:c>
      <x:c r="L11" s="235" t="str">
        <x:v>ILO_AUT16;BPS_SAK25_MICRO</x:v>
      </x:c>
      <x:c r="M11" s="308" t="str">
        <x:f>IF(N11&gt;=0.999999,SUMIFS('05_SECTOR_OCC_CROSSWALK'!$O$2:$O$301,'05_SECTOR_OCC_CROSSWALK'!$A$2:$A$301,A11,'05_SECTOR_OCC_CROSSWALK'!$B$2:$B$301,B11),"")</x:f>
      </x:c>
      <x:c r="N11" s="308" t="n">
        <x:f>SUMIFS('05_SECTOR_OCC_CROSSWALK'!$I$2:$I$301,'05_SECTOR_OCC_CROSSWALK'!$A$2:$A$301,A11,'05_SECTOR_OCC_CROSSWALK'!$B$2:$B$301,B11,'05_SECTOR_OCC_CROSSWALK'!$R$2:$R$301,"VERIFIED")</x:f>
        <x:v>0</x:v>
      </x:c>
      <x:c r="O11" s="235" t="str">
        <x:v>PENDING</x:v>
      </x:c>
      <x:c r="P11" s="235" t="str">
        <x:v>ILO_SCORE25;BPS_SAK25_MICRO</x:v>
      </x:c>
      <x:c r="Q11" s="235"/>
      <x:c r="R11" s="235" t="str"/>
      <x:c r="S11" s="235" t="str">
        <x:v>PENDING</x:v>
      </x:c>
      <x:c r="T11" s="235" t="str"/>
      <x:c r="U11" s="235"/>
      <x:c r="V11" s="235"/>
      <x:c r="W11" s="233" t="str">
        <x:f>IF(AND(D11&lt;&gt;"",I11&lt;&gt;"",M11&lt;&gt;"",G11="VERIFIED",K11="VERIFIED",O11="VERIFIED"),"READY","PENDING")</x:f>
        <x:v>PENDING</x:v>
      </x:c>
      <x:c r="X11" s="297" t="str">
        <x:v>X1 dari BPS Tabel 69; X2/X3 tetap menunggu sektor × okupasi.</x:v>
      </x:c>
    </x:row>
    <x:row r="12">
      <x:c r="A12" s="226" t="str">
        <x:v>Tier A</x:v>
      </x:c>
      <x:c r="B12" s="227" t="str">
        <x:v>S11</x:v>
      </x:c>
      <x:c r="C12" s="227" t="str">
        <x:v>Aktivitas Jasa Lainnya</x:v>
      </x:c>
      <x:c r="D12" s="315" t="n">
        <x:f>IFERROR(100*E12/F12,"")</x:f>
        <x:v>91.65244514023526</x:v>
      </x:c>
      <x:c r="E12" s="315" t="n">
        <x:f>IF(COUNTIFS('04_SAKERNAS_AGG'!$E$2:$E$301,A12,'04_SAKERNAS_AGG'!$F$2:$F$301,B12)=0,"",SUMIFS('04_SAKERNAS_AGG'!$K$2:$K$301,'04_SAKERNAS_AGG'!$E$2:$E$301,A12,'04_SAKERNAS_AGG'!$F$2:$F$301,B12,'04_SAKERNAS_AGG'!$J$2:$J$301,1))</x:f>
        <x:v>5984374</x:v>
      </x:c>
      <x:c r="F12" s="315" t="n">
        <x:f>IF(COUNTIFS('04_SAKERNAS_AGG'!$E$2:$E$301,A12,'04_SAKERNAS_AGG'!$F$2:$F$301,B12)=0,"",SUMIFS('04_SAKERNAS_AGG'!$K$2:$K$301,'04_SAKERNAS_AGG'!$E$2:$E$301,A12,'04_SAKERNAS_AGG'!$F$2:$F$301,B12))</x:f>
        <x:v>6529421</x:v>
      </x:c>
      <x:c r="G12" s="235" t="str">
        <x:v>VERIFIED</x:v>
      </x:c>
      <x:c r="H12" s="235" t="str">
        <x:v>BPS_SAK25_PUB</x:v>
      </x:c>
      <x:c r="I12" s="308" t="str">
        <x:f>IF(J12&gt;=0.999999,SUMIFS('05_SECTOR_OCC_CROSSWALK'!$N$2:$N$301,'05_SECTOR_OCC_CROSSWALK'!$A$2:$A$301,A12,'05_SECTOR_OCC_CROSSWALK'!$B$2:$B$301,B12),"")</x:f>
      </x:c>
      <x:c r="J12" s="308" t="n">
        <x:f>SUMIFS('05_SECTOR_OCC_CROSSWALK'!$I$2:$I$301,'05_SECTOR_OCC_CROSSWALK'!$A$2:$A$301,A12,'05_SECTOR_OCC_CROSSWALK'!$B$2:$B$301,B12,'05_SECTOR_OCC_CROSSWALK'!$Q$2:$Q$301,"VERIFIED")</x:f>
        <x:v>0</x:v>
      </x:c>
      <x:c r="K12" s="235" t="str">
        <x:v>PENDING</x:v>
      </x:c>
      <x:c r="L12" s="235" t="str">
        <x:v>ILO_AUT16;BPS_SAK25_MICRO</x:v>
      </x:c>
      <x:c r="M12" s="308" t="str">
        <x:f>IF(N12&gt;=0.999999,SUMIFS('05_SECTOR_OCC_CROSSWALK'!$O$2:$O$301,'05_SECTOR_OCC_CROSSWALK'!$A$2:$A$301,A12,'05_SECTOR_OCC_CROSSWALK'!$B$2:$B$301,B12),"")</x:f>
      </x:c>
      <x:c r="N12" s="308" t="n">
        <x:f>SUMIFS('05_SECTOR_OCC_CROSSWALK'!$I$2:$I$301,'05_SECTOR_OCC_CROSSWALK'!$A$2:$A$301,A12,'05_SECTOR_OCC_CROSSWALK'!$B$2:$B$301,B12,'05_SECTOR_OCC_CROSSWALK'!$R$2:$R$301,"VERIFIED")</x:f>
        <x:v>0</x:v>
      </x:c>
      <x:c r="O12" s="235" t="str">
        <x:v>PENDING</x:v>
      </x:c>
      <x:c r="P12" s="235" t="str">
        <x:v>ILO_SCORE25;BPS_SAK25_MICRO</x:v>
      </x:c>
      <x:c r="Q12" s="235"/>
      <x:c r="R12" s="235" t="str"/>
      <x:c r="S12" s="235" t="str">
        <x:v>PENDING</x:v>
      </x:c>
      <x:c r="T12" s="235" t="str"/>
      <x:c r="U12" s="235"/>
      <x:c r="V12" s="235"/>
      <x:c r="W12" s="233" t="str">
        <x:f>IF(AND(D12&lt;&gt;"",I12&lt;&gt;"",M12&lt;&gt;"",G12="VERIFIED",K12="VERIFIED",O12="VERIFIED"),"READY","PENDING")</x:f>
        <x:v>PENDING</x:v>
      </x:c>
      <x:c r="X12" s="297" t="str">
        <x:v>X1 dari BPS Tabel 69; X2/X3 tetap menunggu sektor × okupasi.</x:v>
      </x:c>
    </x:row>
    <x:row r="13">
      <x:c r="A13" s="226" t="str">
        <x:v>Tier B</x:v>
      </x:c>
      <x:c r="B13" s="227" t="str">
        <x:v>B1</x:v>
      </x:c>
      <x:c r="C13" s="227" t="str">
        <x:v>Industri Pengolahan (Gabungan S1–S6)</x:v>
      </x:c>
      <x:c r="D13" s="315" t="n">
        <x:f>IFERROR(100*E13/F13,"")</x:f>
        <x:v>93.46307749615497</x:v>
      </x:c>
      <x:c r="E13" s="315" t="n">
        <x:f>IF(COUNTIFS('04_SAKERNAS_AGG'!$E$2:$E$301,A13,'04_SAKERNAS_AGG'!$F$2:$F$301,B13)=0,"",SUMIFS('04_SAKERNAS_AGG'!$K$2:$K$301,'04_SAKERNAS_AGG'!$E$2:$E$301,A13,'04_SAKERNAS_AGG'!$F$2:$F$301,B13,'04_SAKERNAS_AGG'!$J$2:$J$301,1))</x:f>
        <x:v>18981122</x:v>
      </x:c>
      <x:c r="F13" s="315" t="n">
        <x:f>IF(COUNTIFS('04_SAKERNAS_AGG'!$E$2:$E$301,A13,'04_SAKERNAS_AGG'!$F$2:$F$301,B13)=0,"",SUMIFS('04_SAKERNAS_AGG'!$K$2:$K$301,'04_SAKERNAS_AGG'!$E$2:$E$301,A13,'04_SAKERNAS_AGG'!$F$2:$F$301,B13))</x:f>
        <x:v>20308685</x:v>
      </x:c>
      <x:c r="G13" s="235" t="str">
        <x:v>VERIFIED</x:v>
      </x:c>
      <x:c r="H13" s="235" t="str">
        <x:v>BPS_SAK25_PUB</x:v>
      </x:c>
      <x:c r="I13" s="308" t="str">
        <x:f>IF(J13&gt;=0.999999,SUMIFS('05_SECTOR_OCC_CROSSWALK'!$N$2:$N$301,'05_SECTOR_OCC_CROSSWALK'!$A$2:$A$301,A13,'05_SECTOR_OCC_CROSSWALK'!$B$2:$B$301,B13),"")</x:f>
      </x:c>
      <x:c r="J13" s="308" t="n">
        <x:f>SUMIFS('05_SECTOR_OCC_CROSSWALK'!$I$2:$I$301,'05_SECTOR_OCC_CROSSWALK'!$A$2:$A$301,A13,'05_SECTOR_OCC_CROSSWALK'!$B$2:$B$301,B13,'05_SECTOR_OCC_CROSSWALK'!$Q$2:$Q$301,"VERIFIED")</x:f>
        <x:v>0</x:v>
      </x:c>
      <x:c r="K13" s="235" t="str">
        <x:v>PENDING</x:v>
      </x:c>
      <x:c r="L13" s="235" t="str">
        <x:v>ILO_AUT16;BPS_SAK25_MICRO</x:v>
      </x:c>
      <x:c r="M13" s="308" t="str">
        <x:f>IF(N13&gt;=0.999999,SUMIFS('05_SECTOR_OCC_CROSSWALK'!$O$2:$O$301,'05_SECTOR_OCC_CROSSWALK'!$A$2:$A$301,A13,'05_SECTOR_OCC_CROSSWALK'!$B$2:$B$301,B13),"")</x:f>
      </x:c>
      <x:c r="N13" s="308" t="n">
        <x:f>SUMIFS('05_SECTOR_OCC_CROSSWALK'!$I$2:$I$301,'05_SECTOR_OCC_CROSSWALK'!$A$2:$A$301,A13,'05_SECTOR_OCC_CROSSWALK'!$B$2:$B$301,B13,'05_SECTOR_OCC_CROSSWALK'!$R$2:$R$301,"VERIFIED")</x:f>
        <x:v>0</x:v>
      </x:c>
      <x:c r="O13" s="235" t="str">
        <x:v>PENDING</x:v>
      </x:c>
      <x:c r="P13" s="235" t="str">
        <x:v>ILO_SCORE25;BPS_SAK25_MICRO</x:v>
      </x:c>
      <x:c r="Q13" s="235"/>
      <x:c r="R13" s="235" t="str"/>
      <x:c r="S13" s="235" t="str">
        <x:v>PENDING</x:v>
      </x:c>
      <x:c r="T13" s="235" t="str"/>
      <x:c r="U13" s="235"/>
      <x:c r="V13" s="235"/>
      <x:c r="W13" s="233" t="str">
        <x:f>IF(AND(D13&lt;&gt;"",I13&lt;&gt;"",M13&lt;&gt;"",G13="VERIFIED",K13="VERIFIED",O13="VERIFIED"),"READY","PENDING")</x:f>
        <x:v>PENDING</x:v>
      </x:c>
      <x:c r="X13" s="297" t="str">
        <x:v>X1 dari BPS Tabel 69; X2/X3 tetap menunggu sektor × okupasi.</x:v>
      </x:c>
    </x:row>
    <x:row r="14">
      <x:c r="A14" s="226" t="str">
        <x:v>Tier B</x:v>
      </x:c>
      <x:c r="B14" s="227" t="str">
        <x:v>B2</x:v>
      </x:c>
      <x:c r="C14" s="227" t="str">
        <x:v>Pertanian, Kehutanan, dan Perikanan</x:v>
      </x:c>
      <x:c r="D14" s="315" t="n">
        <x:f>IFERROR(100*E14/F14,"")</x:f>
        <x:v>97.85001943287334</x:v>
      </x:c>
      <x:c r="E14" s="315" t="n">
        <x:f>IF(COUNTIFS('04_SAKERNAS_AGG'!$E$2:$E$301,A14,'04_SAKERNAS_AGG'!$F$2:$F$301,B14)=0,"",SUMIFS('04_SAKERNAS_AGG'!$K$2:$K$301,'04_SAKERNAS_AGG'!$E$2:$E$301,A14,'04_SAKERNAS_AGG'!$F$2:$F$301,B14,'04_SAKERNAS_AGG'!$J$2:$J$301,1))</x:f>
        <x:v>40360312</x:v>
      </x:c>
      <x:c r="F14" s="315" t="n">
        <x:f>IF(COUNTIFS('04_SAKERNAS_AGG'!$E$2:$E$301,A14,'04_SAKERNAS_AGG'!$F$2:$F$301,B14)=0,"",SUMIFS('04_SAKERNAS_AGG'!$K$2:$K$301,'04_SAKERNAS_AGG'!$E$2:$E$301,A14,'04_SAKERNAS_AGG'!$F$2:$F$301,B14))</x:f>
        <x:v>41247117</x:v>
      </x:c>
      <x:c r="G14" s="235" t="str">
        <x:v>VERIFIED</x:v>
      </x:c>
      <x:c r="H14" s="235" t="str">
        <x:v>BPS_SAK25_PUB</x:v>
      </x:c>
      <x:c r="I14" s="308" t="str">
        <x:f>IF(J14&gt;=0.999999,SUMIFS('05_SECTOR_OCC_CROSSWALK'!$N$2:$N$301,'05_SECTOR_OCC_CROSSWALK'!$A$2:$A$301,A14,'05_SECTOR_OCC_CROSSWALK'!$B$2:$B$301,B14),"")</x:f>
      </x:c>
      <x:c r="J14" s="308" t="n">
        <x:f>SUMIFS('05_SECTOR_OCC_CROSSWALK'!$I$2:$I$301,'05_SECTOR_OCC_CROSSWALK'!$A$2:$A$301,A14,'05_SECTOR_OCC_CROSSWALK'!$B$2:$B$301,B14,'05_SECTOR_OCC_CROSSWALK'!$Q$2:$Q$301,"VERIFIED")</x:f>
        <x:v>0</x:v>
      </x:c>
      <x:c r="K14" s="235" t="str">
        <x:v>PENDING</x:v>
      </x:c>
      <x:c r="L14" s="235" t="str">
        <x:v>ILO_AUT16;BPS_SAK25_MICRO</x:v>
      </x:c>
      <x:c r="M14" s="308" t="str">
        <x:f>IF(N14&gt;=0.999999,SUMIFS('05_SECTOR_OCC_CROSSWALK'!$O$2:$O$301,'05_SECTOR_OCC_CROSSWALK'!$A$2:$A$301,A14,'05_SECTOR_OCC_CROSSWALK'!$B$2:$B$301,B14),"")</x:f>
      </x:c>
      <x:c r="N14" s="308" t="n">
        <x:f>SUMIFS('05_SECTOR_OCC_CROSSWALK'!$I$2:$I$301,'05_SECTOR_OCC_CROSSWALK'!$A$2:$A$301,A14,'05_SECTOR_OCC_CROSSWALK'!$B$2:$B$301,B14,'05_SECTOR_OCC_CROSSWALK'!$R$2:$R$301,"VERIFIED")</x:f>
        <x:v>0</x:v>
      </x:c>
      <x:c r="O14" s="235" t="str">
        <x:v>PENDING</x:v>
      </x:c>
      <x:c r="P14" s="235" t="str">
        <x:v>ILO_SCORE25;BPS_SAK25_MICRO</x:v>
      </x:c>
      <x:c r="Q14" s="235"/>
      <x:c r="R14" s="235" t="str"/>
      <x:c r="S14" s="235" t="str">
        <x:v>PENDING</x:v>
      </x:c>
      <x:c r="T14" s="235" t="str"/>
      <x:c r="U14" s="235"/>
      <x:c r="V14" s="235"/>
      <x:c r="W14" s="233" t="str">
        <x:f>IF(AND(D14&lt;&gt;"",I14&lt;&gt;"",M14&lt;&gt;"",G14="VERIFIED",K14="VERIFIED",O14="VERIFIED"),"READY","PENDING")</x:f>
        <x:v>PENDING</x:v>
      </x:c>
      <x:c r="X14" s="297" t="str">
        <x:v>X1 dari BPS Tabel 69; X2/X3 tetap menunggu sektor × okupasi.</x:v>
      </x:c>
    </x:row>
    <x:row r="15">
      <x:c r="A15" s="226" t="str">
        <x:v>Tier B</x:v>
      </x:c>
      <x:c r="B15" s="227" t="str">
        <x:v>B3</x:v>
      </x:c>
      <x:c r="C15" s="227" t="str">
        <x:v>Perdagangan Besar dan Eceran</x:v>
      </x:c>
      <x:c r="D15" s="315" t="n">
        <x:f>IFERROR(100*E15/F15,"")</x:f>
        <x:v>90.78497277815515</x:v>
      </x:c>
      <x:c r="E15" s="315" t="n">
        <x:f>IF(COUNTIFS('04_SAKERNAS_AGG'!$E$2:$E$301,A15,'04_SAKERNAS_AGG'!$F$2:$F$301,B15)=0,"",SUMIFS('04_SAKERNAS_AGG'!$K$2:$K$301,'04_SAKERNAS_AGG'!$E$2:$E$301,A15,'04_SAKERNAS_AGG'!$F$2:$F$301,B15,'04_SAKERNAS_AGG'!$J$2:$J$301,1))</x:f>
        <x:v>24923155</x:v>
      </x:c>
      <x:c r="F15" s="315" t="n">
        <x:f>IF(COUNTIFS('04_SAKERNAS_AGG'!$E$2:$E$301,A15,'04_SAKERNAS_AGG'!$F$2:$F$301,B15)=0,"",SUMIFS('04_SAKERNAS_AGG'!$K$2:$K$301,'04_SAKERNAS_AGG'!$E$2:$E$301,A15,'04_SAKERNAS_AGG'!$F$2:$F$301,B15))</x:f>
        <x:v>27452952</x:v>
      </x:c>
      <x:c r="G15" s="235" t="str">
        <x:v>VERIFIED</x:v>
      </x:c>
      <x:c r="H15" s="235" t="str">
        <x:v>BPS_SAK25_PUB</x:v>
      </x:c>
      <x:c r="I15" s="308" t="str">
        <x:f>IF(J15&gt;=0.999999,SUMIFS('05_SECTOR_OCC_CROSSWALK'!$N$2:$N$301,'05_SECTOR_OCC_CROSSWALK'!$A$2:$A$301,A15,'05_SECTOR_OCC_CROSSWALK'!$B$2:$B$301,B15),"")</x:f>
      </x:c>
      <x:c r="J15" s="308" t="n">
        <x:f>SUMIFS('05_SECTOR_OCC_CROSSWALK'!$I$2:$I$301,'05_SECTOR_OCC_CROSSWALK'!$A$2:$A$301,A15,'05_SECTOR_OCC_CROSSWALK'!$B$2:$B$301,B15,'05_SECTOR_OCC_CROSSWALK'!$Q$2:$Q$301,"VERIFIED")</x:f>
        <x:v>0</x:v>
      </x:c>
      <x:c r="K15" s="235" t="str">
        <x:v>PENDING</x:v>
      </x:c>
      <x:c r="L15" s="235" t="str">
        <x:v>ILO_AUT16;BPS_SAK25_MICRO</x:v>
      </x:c>
      <x:c r="M15" s="308" t="str">
        <x:f>IF(N15&gt;=0.999999,SUMIFS('05_SECTOR_OCC_CROSSWALK'!$O$2:$O$301,'05_SECTOR_OCC_CROSSWALK'!$A$2:$A$301,A15,'05_SECTOR_OCC_CROSSWALK'!$B$2:$B$301,B15),"")</x:f>
      </x:c>
      <x:c r="N15" s="308" t="n">
        <x:f>SUMIFS('05_SECTOR_OCC_CROSSWALK'!$I$2:$I$301,'05_SECTOR_OCC_CROSSWALK'!$A$2:$A$301,A15,'05_SECTOR_OCC_CROSSWALK'!$B$2:$B$301,B15,'05_SECTOR_OCC_CROSSWALK'!$R$2:$R$301,"VERIFIED")</x:f>
        <x:v>0</x:v>
      </x:c>
      <x:c r="O15" s="235" t="str">
        <x:v>PENDING</x:v>
      </x:c>
      <x:c r="P15" s="235" t="str">
        <x:v>ILO_SCORE25;BPS_SAK25_MICRO</x:v>
      </x:c>
      <x:c r="Q15" s="235"/>
      <x:c r="R15" s="235" t="str"/>
      <x:c r="S15" s="235" t="str">
        <x:v>PENDING</x:v>
      </x:c>
      <x:c r="T15" s="235" t="str"/>
      <x:c r="U15" s="235"/>
      <x:c r="V15" s="235"/>
      <x:c r="W15" s="233" t="str">
        <x:f>IF(AND(D15&lt;&gt;"",I15&lt;&gt;"",M15&lt;&gt;"",G15="VERIFIED",K15="VERIFIED",O15="VERIFIED"),"READY","PENDING")</x:f>
        <x:v>PENDING</x:v>
      </x:c>
      <x:c r="X15" s="297" t="str">
        <x:v>X1 dari BPS Tabel 69; X2/X3 tetap menunggu sektor × okupasi.</x:v>
      </x:c>
    </x:row>
    <x:row r="16">
      <x:c r="A16" s="226" t="str">
        <x:v>Tier B</x:v>
      </x:c>
      <x:c r="B16" s="227" t="str">
        <x:v>B4</x:v>
      </x:c>
      <x:c r="C16" s="227" t="str">
        <x:v>Transportasi dan Pergudangan</x:v>
      </x:c>
      <x:c r="D16" s="315" t="n">
        <x:f>IFERROR(100*E16/F16,"")</x:f>
        <x:v>90.84027543008044</x:v>
      </x:c>
      <x:c r="E16" s="315" t="n">
        <x:f>IF(COUNTIFS('04_SAKERNAS_AGG'!$E$2:$E$301,A16,'04_SAKERNAS_AGG'!$F$2:$F$301,B16)=0,"",SUMIFS('04_SAKERNAS_AGG'!$K$2:$K$301,'04_SAKERNAS_AGG'!$E$2:$E$301,A16,'04_SAKERNAS_AGG'!$F$2:$F$301,B16,'04_SAKERNAS_AGG'!$J$2:$J$301,1))</x:f>
        <x:v>5696521</x:v>
      </x:c>
      <x:c r="F16" s="315" t="n">
        <x:f>IF(COUNTIFS('04_SAKERNAS_AGG'!$E$2:$E$301,A16,'04_SAKERNAS_AGG'!$F$2:$F$301,B16)=0,"",SUMIFS('04_SAKERNAS_AGG'!$K$2:$K$301,'04_SAKERNAS_AGG'!$E$2:$E$301,A16,'04_SAKERNAS_AGG'!$F$2:$F$301,B16))</x:f>
        <x:v>6270920</x:v>
      </x:c>
      <x:c r="G16" s="235" t="str">
        <x:v>VERIFIED</x:v>
      </x:c>
      <x:c r="H16" s="235" t="str">
        <x:v>BPS_SAK25_PUB</x:v>
      </x:c>
      <x:c r="I16" s="308" t="str">
        <x:f>IF(J16&gt;=0.999999,SUMIFS('05_SECTOR_OCC_CROSSWALK'!$N$2:$N$301,'05_SECTOR_OCC_CROSSWALK'!$A$2:$A$301,A16,'05_SECTOR_OCC_CROSSWALK'!$B$2:$B$301,B16),"")</x:f>
      </x:c>
      <x:c r="J16" s="308" t="n">
        <x:f>SUMIFS('05_SECTOR_OCC_CROSSWALK'!$I$2:$I$301,'05_SECTOR_OCC_CROSSWALK'!$A$2:$A$301,A16,'05_SECTOR_OCC_CROSSWALK'!$B$2:$B$301,B16,'05_SECTOR_OCC_CROSSWALK'!$Q$2:$Q$301,"VERIFIED")</x:f>
        <x:v>0</x:v>
      </x:c>
      <x:c r="K16" s="235" t="str">
        <x:v>PENDING</x:v>
      </x:c>
      <x:c r="L16" s="235" t="str">
        <x:v>ILO_AUT16;BPS_SAK25_MICRO</x:v>
      </x:c>
      <x:c r="M16" s="308" t="str">
        <x:f>IF(N16&gt;=0.999999,SUMIFS('05_SECTOR_OCC_CROSSWALK'!$O$2:$O$301,'05_SECTOR_OCC_CROSSWALK'!$A$2:$A$301,A16,'05_SECTOR_OCC_CROSSWALK'!$B$2:$B$301,B16),"")</x:f>
      </x:c>
      <x:c r="N16" s="308" t="n">
        <x:f>SUMIFS('05_SECTOR_OCC_CROSSWALK'!$I$2:$I$301,'05_SECTOR_OCC_CROSSWALK'!$A$2:$A$301,A16,'05_SECTOR_OCC_CROSSWALK'!$B$2:$B$301,B16,'05_SECTOR_OCC_CROSSWALK'!$R$2:$R$301,"VERIFIED")</x:f>
        <x:v>0</x:v>
      </x:c>
      <x:c r="O16" s="235" t="str">
        <x:v>PENDING</x:v>
      </x:c>
      <x:c r="P16" s="235" t="str">
        <x:v>ILO_SCORE25;BPS_SAK25_MICRO</x:v>
      </x:c>
      <x:c r="Q16" s="235"/>
      <x:c r="R16" s="235" t="str"/>
      <x:c r="S16" s="235" t="str">
        <x:v>PENDING</x:v>
      </x:c>
      <x:c r="T16" s="235" t="str"/>
      <x:c r="U16" s="235"/>
      <x:c r="V16" s="235"/>
      <x:c r="W16" s="233" t="str">
        <x:f>IF(AND(D16&lt;&gt;"",I16&lt;&gt;"",M16&lt;&gt;"",G16="VERIFIED",K16="VERIFIED",O16="VERIFIED"),"READY","PENDING")</x:f>
        <x:v>PENDING</x:v>
      </x:c>
      <x:c r="X16" s="297" t="str">
        <x:v>X1 dari BPS Tabel 69; X2/X3 tetap menunggu sektor × okupasi.</x:v>
      </x:c>
    </x:row>
    <x:row r="17">
      <x:c r="A17" s="226" t="str">
        <x:v>Tier B</x:v>
      </x:c>
      <x:c r="B17" s="227" t="str">
        <x:v>B5</x:v>
      </x:c>
      <x:c r="C17" s="227" t="str">
        <x:v>Penyediaan Akomodasi dan Makan Minum</x:v>
      </x:c>
      <x:c r="D17" s="315" t="n">
        <x:f>IFERROR(100*E17/F17,"")</x:f>
        <x:v>93.03385506311311</x:v>
      </x:c>
      <x:c r="E17" s="315" t="n">
        <x:f>IF(COUNTIFS('04_SAKERNAS_AGG'!$E$2:$E$301,A17,'04_SAKERNAS_AGG'!$F$2:$F$301,B17)=0,"",SUMIFS('04_SAKERNAS_AGG'!$K$2:$K$301,'04_SAKERNAS_AGG'!$E$2:$E$301,A17,'04_SAKERNAS_AGG'!$F$2:$F$301,B17,'04_SAKERNAS_AGG'!$J$2:$J$301,1))</x:f>
        <x:v>10878057</x:v>
      </x:c>
      <x:c r="F17" s="315" t="n">
        <x:f>IF(COUNTIFS('04_SAKERNAS_AGG'!$E$2:$E$301,A17,'04_SAKERNAS_AGG'!$F$2:$F$301,B17)=0,"",SUMIFS('04_SAKERNAS_AGG'!$K$2:$K$301,'04_SAKERNAS_AGG'!$E$2:$E$301,A17,'04_SAKERNAS_AGG'!$F$2:$F$301,B17))</x:f>
        <x:v>11692579</x:v>
      </x:c>
      <x:c r="G17" s="235" t="str">
        <x:v>VERIFIED</x:v>
      </x:c>
      <x:c r="H17" s="235" t="str">
        <x:v>BPS_SAK25_PUB</x:v>
      </x:c>
      <x:c r="I17" s="308" t="str">
        <x:f>IF(J17&gt;=0.999999,SUMIFS('05_SECTOR_OCC_CROSSWALK'!$N$2:$N$301,'05_SECTOR_OCC_CROSSWALK'!$A$2:$A$301,A17,'05_SECTOR_OCC_CROSSWALK'!$B$2:$B$301,B17),"")</x:f>
      </x:c>
      <x:c r="J17" s="308" t="n">
        <x:f>SUMIFS('05_SECTOR_OCC_CROSSWALK'!$I$2:$I$301,'05_SECTOR_OCC_CROSSWALK'!$A$2:$A$301,A17,'05_SECTOR_OCC_CROSSWALK'!$B$2:$B$301,B17,'05_SECTOR_OCC_CROSSWALK'!$Q$2:$Q$301,"VERIFIED")</x:f>
        <x:v>0</x:v>
      </x:c>
      <x:c r="K17" s="235" t="str">
        <x:v>PENDING</x:v>
      </x:c>
      <x:c r="L17" s="235" t="str">
        <x:v>ILO_AUT16;BPS_SAK25_MICRO</x:v>
      </x:c>
      <x:c r="M17" s="308" t="str">
        <x:f>IF(N17&gt;=0.999999,SUMIFS('05_SECTOR_OCC_CROSSWALK'!$O$2:$O$301,'05_SECTOR_OCC_CROSSWALK'!$A$2:$A$301,A17,'05_SECTOR_OCC_CROSSWALK'!$B$2:$B$301,B17),"")</x:f>
      </x:c>
      <x:c r="N17" s="308" t="n">
        <x:f>SUMIFS('05_SECTOR_OCC_CROSSWALK'!$I$2:$I$301,'05_SECTOR_OCC_CROSSWALK'!$A$2:$A$301,A17,'05_SECTOR_OCC_CROSSWALK'!$B$2:$B$301,B17,'05_SECTOR_OCC_CROSSWALK'!$R$2:$R$301,"VERIFIED")</x:f>
        <x:v>0</x:v>
      </x:c>
      <x:c r="O17" s="235" t="str">
        <x:v>PENDING</x:v>
      </x:c>
      <x:c r="P17" s="235" t="str">
        <x:v>ILO_SCORE25;BPS_SAK25_MICRO</x:v>
      </x:c>
      <x:c r="Q17" s="235"/>
      <x:c r="R17" s="235" t="str"/>
      <x:c r="S17" s="235" t="str">
        <x:v>PENDING</x:v>
      </x:c>
      <x:c r="T17" s="235" t="str"/>
      <x:c r="U17" s="235"/>
      <x:c r="V17" s="235"/>
      <x:c r="W17" s="233" t="str">
        <x:f>IF(AND(D17&lt;&gt;"",I17&lt;&gt;"",M17&lt;&gt;"",G17="VERIFIED",K17="VERIFIED",O17="VERIFIED"),"READY","PENDING")</x:f>
        <x:v>PENDING</x:v>
      </x:c>
      <x:c r="X17" s="297" t="str">
        <x:v>X1 dari BPS Tabel 69; X2/X3 tetap menunggu sektor × okupasi.</x:v>
      </x:c>
    </x:row>
    <x:row r="18">
      <x:c r="A18" s="229" t="str">
        <x:v>Tier B</x:v>
      </x:c>
      <x:c r="B18" s="230" t="str">
        <x:v>B6</x:v>
      </x:c>
      <x:c r="C18" s="230" t="str">
        <x:v>Aktivitas Jasa Lainnya</x:v>
      </x:c>
      <x:c r="D18" s="317" t="n">
        <x:f>IFERROR(100*E18/F18,"")</x:f>
        <x:v>91.65244514023526</x:v>
      </x:c>
      <x:c r="E18" s="317" t="n">
        <x:f>IF(COUNTIFS('04_SAKERNAS_AGG'!$E$2:$E$301,A18,'04_SAKERNAS_AGG'!$F$2:$F$301,B18)=0,"",SUMIFS('04_SAKERNAS_AGG'!$K$2:$K$301,'04_SAKERNAS_AGG'!$E$2:$E$301,A18,'04_SAKERNAS_AGG'!$F$2:$F$301,B18,'04_SAKERNAS_AGG'!$J$2:$J$301,1))</x:f>
        <x:v>5984374</x:v>
      </x:c>
      <x:c r="F18" s="317" t="n">
        <x:f>IF(COUNTIFS('04_SAKERNAS_AGG'!$E$2:$E$301,A18,'04_SAKERNAS_AGG'!$F$2:$F$301,B18)=0,"",SUMIFS('04_SAKERNAS_AGG'!$K$2:$K$301,'04_SAKERNAS_AGG'!$E$2:$E$301,A18,'04_SAKERNAS_AGG'!$F$2:$F$301,B18))</x:f>
        <x:v>6529421</x:v>
      </x:c>
      <x:c r="G18" s="287" t="str">
        <x:v>VERIFIED</x:v>
      </x:c>
      <x:c r="H18" s="287" t="str">
        <x:v>BPS_SAK25_PUB</x:v>
      </x:c>
      <x:c r="I18" s="311" t="str">
        <x:f>IF(J18&gt;=0.999999,SUMIFS('05_SECTOR_OCC_CROSSWALK'!$N$2:$N$301,'05_SECTOR_OCC_CROSSWALK'!$A$2:$A$301,A18,'05_SECTOR_OCC_CROSSWALK'!$B$2:$B$301,B18),"")</x:f>
      </x:c>
      <x:c r="J18" s="311" t="n">
        <x:f>SUMIFS('05_SECTOR_OCC_CROSSWALK'!$I$2:$I$301,'05_SECTOR_OCC_CROSSWALK'!$A$2:$A$301,A18,'05_SECTOR_OCC_CROSSWALK'!$B$2:$B$301,B18,'05_SECTOR_OCC_CROSSWALK'!$Q$2:$Q$301,"VERIFIED")</x:f>
        <x:v>0</x:v>
      </x:c>
      <x:c r="K18" s="287" t="str">
        <x:v>PENDING</x:v>
      </x:c>
      <x:c r="L18" s="287" t="str">
        <x:v>ILO_AUT16;BPS_SAK25_MICRO</x:v>
      </x:c>
      <x:c r="M18" s="311" t="str">
        <x:f>IF(N18&gt;=0.999999,SUMIFS('05_SECTOR_OCC_CROSSWALK'!$O$2:$O$301,'05_SECTOR_OCC_CROSSWALK'!$A$2:$A$301,A18,'05_SECTOR_OCC_CROSSWALK'!$B$2:$B$301,B18),"")</x:f>
      </x:c>
      <x:c r="N18" s="311" t="n">
        <x:f>SUMIFS('05_SECTOR_OCC_CROSSWALK'!$I$2:$I$301,'05_SECTOR_OCC_CROSSWALK'!$A$2:$A$301,A18,'05_SECTOR_OCC_CROSSWALK'!$B$2:$B$301,B18,'05_SECTOR_OCC_CROSSWALK'!$R$2:$R$301,"VERIFIED")</x:f>
        <x:v>0</x:v>
      </x:c>
      <x:c r="O18" s="287" t="str">
        <x:v>PENDING</x:v>
      </x:c>
      <x:c r="P18" s="287" t="str">
        <x:v>ILO_SCORE25;BPS_SAK25_MICRO</x:v>
      </x:c>
      <x:c r="Q18" s="287"/>
      <x:c r="R18" s="287" t="str"/>
      <x:c r="S18" s="287" t="str">
        <x:v>PENDING</x:v>
      </x:c>
      <x:c r="T18" s="287" t="str"/>
      <x:c r="U18" s="287"/>
      <x:c r="V18" s="287"/>
      <x:c r="W18" s="286" t="str">
        <x:f>IF(AND(D18&lt;&gt;"",I18&lt;&gt;"",M18&lt;&gt;"",G18="VERIFIED",K18="VERIFIED",O18="VERIFIED"),"READY","PENDING")</x:f>
        <x:v>PENDING</x:v>
      </x:c>
      <x:c r="X18" s="302" t="str">
        <x:v>X1 dari BPS Tabel 69; X2/X3 tetap menunggu sektor × okupasi.</x:v>
      </x:c>
    </x:row>
  </x:sheetData>
  <x:conditionalFormatting sqref="G2:W18">
    <x:cfRule type="containsText" dxfId="50" priority="1" operator="containsText" text="BLOCKED"/>
    <x:cfRule type="containsText" dxfId="51" priority="2" operator="containsText" text="ERROR"/>
    <x:cfRule type="containsText" dxfId="52" priority="3" operator="containsText" text="READY"/>
    <x:cfRule type="containsText" dxfId="53" priority="4" operator="containsText" text="VERIFIED"/>
    <x:cfRule type="containsText" dxfId="54" priority="5" operator="containsText" text="PENDING"/>
  </x:conditionalFormatting>
  <x:dataValidations count="4">
    <x:dataValidation type="list" sqref="G2:G18">
      <x:formula1>"PENDING,VERIFIED,MISSING,REJECTED"</x:formula1>
    </x:dataValidation>
    <x:dataValidation type="list" sqref="K2:K18">
      <x:formula1>"PENDING,VERIFIED,MISSING,REJECTED"</x:formula1>
    </x:dataValidation>
    <x:dataValidation type="list" sqref="O2:O18">
      <x:formula1>"PENDING,VERIFIED,MISSING,REJECTED"</x:formula1>
    </x:dataValidation>
    <x:dataValidation type="list" sqref="S2:S18">
      <x:formula1>"PENDING,VERIFIED,MISSING,NOT_APPLICABLE"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cbcca8e34c4d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3" hidden="0" customWidth="1"/>
    <x:col min="13" max="13" width="13" hidden="0" customWidth="1"/>
    <x:col min="14" max="14" width="13" hidden="0" customWidth="1"/>
    <x:col min="15" max="15" width="15" hidden="0" customWidth="1"/>
    <x:col min="16" max="16" width="17" hidden="0" customWidth="1"/>
    <x:col min="17" max="17" width="18" hidden="0" customWidth="1"/>
  </x:cols>
  <x:sheetData>
    <x:row r="1" ht="34" customHeight="1">
      <x:c r="A1" s="220" t="str">
        <x:v>tier</x:v>
      </x:c>
      <x:c r="B1" s="221" t="str">
        <x:v>sector_id</x:v>
      </x:c>
      <x:c r="C1" s="221" t="str">
        <x:v>sector_name</x:v>
      </x:c>
      <x:c r="D1" s="221" t="str">
        <x:v>X1_raw</x:v>
      </x:c>
      <x:c r="E1" s="221" t="str">
        <x:v>X1_norm</x:v>
      </x:c>
      <x:c r="F1" s="221" t="str">
        <x:v>X1_p</x:v>
      </x:c>
      <x:c r="G1" s="221" t="str">
        <x:v>X1_p_ln_p</x:v>
      </x:c>
      <x:c r="H1" s="221" t="str">
        <x:v>X2_raw</x:v>
      </x:c>
      <x:c r="I1" s="221" t="str">
        <x:v>X2_norm</x:v>
      </x:c>
      <x:c r="J1" s="221" t="str">
        <x:v>X2_p</x:v>
      </x:c>
      <x:c r="K1" s="221" t="str">
        <x:v>X2_p_ln_p</x:v>
      </x:c>
      <x:c r="L1" s="221" t="str">
        <x:v>X3_raw</x:v>
      </x:c>
      <x:c r="M1" s="221" t="str">
        <x:v>X3_norm</x:v>
      </x:c>
      <x:c r="N1" s="221" t="str">
        <x:v>X3_p</x:v>
      </x:c>
      <x:c r="O1" s="221" t="str">
        <x:v>X3_p_ln_p</x:v>
      </x:c>
      <x:c r="P1" s="221" t="str">
        <x:v>active_complete</x:v>
      </x:c>
      <x:c r="Q1" s="222" t="str">
        <x:v>qc_status</x:v>
      </x:c>
    </x:row>
    <x:row r="2">
      <x:c r="A2" s="223" t="str">
        <x:v>Tier A</x:v>
      </x:c>
      <x:c r="B2" s="224" t="str">
        <x:v>S1</x:v>
      </x:c>
      <x:c r="C2" s="224" t="str">
        <x:v>Industri Makanan dan Minuman</x:v>
      </x:c>
      <x:c r="D2" s="305" t="str">
        <x:f>'06_INDICATORS_RAW'!D2</x:f>
      </x:c>
      <x:c r="E2" s="305" t="str">
        <x:f>IF(D2="","",IF(OR(D2&lt;'00_README'!$B$16,D2&gt;'00_README'!$B$17),"",MAX('00_README'!$B$15,(D2-'00_README'!$B$16)/('00_README'!$B$17-'00_README'!$B$16))))</x:f>
      </x:c>
      <x:c r="F2" s="305" t="str">
        <x:f>IF(P2&lt;&gt;1,"",E2/SUMIFS($E$2:$E$18,$A$2:$A$18,'00_README'!$B$13,$P$2:$P$18,1))</x:f>
      </x:c>
      <x:c r="G2" s="305" t="str">
        <x:f>IF(F2="","",F2*LN(F2))</x:f>
      </x:c>
      <x:c r="H2" s="305" t="str">
        <x:f>'06_INDICATORS_RAW'!I2</x:f>
      </x:c>
      <x:c r="I2" s="305" t="str">
        <x:f>IF(H2="","",IF(OR(H2&lt;'00_README'!$B$18,H2&gt;'00_README'!$B$19),"",MAX('00_README'!$B$15,(H2-'00_README'!$B$18)/('00_README'!$B$19-'00_README'!$B$18))))</x:f>
      </x:c>
      <x:c r="J2" s="305" t="str">
        <x:f>IF(P2&lt;&gt;1,"",I2/SUMIFS($I$2:$I$18,$A$2:$A$18,'00_README'!$B$13,$P$2:$P$18,1))</x:f>
      </x:c>
      <x:c r="K2" s="305" t="str">
        <x:f>IF(J2="","",J2*LN(J2))</x:f>
      </x:c>
      <x:c r="L2" s="305" t="str">
        <x:f>'06_INDICATORS_RAW'!M2</x:f>
      </x:c>
      <x:c r="M2" s="305" t="str">
        <x:f>IF(L2="","",IF(OR(L2&lt;'00_README'!$B$20,L2&gt;'00_README'!$B$21),"",MAX('00_README'!$B$15,(L2-'00_README'!$B$20)/('00_README'!$B$21-'00_README'!$B$20))))</x:f>
      </x:c>
      <x:c r="N2" s="305" t="str">
        <x:f>IF(P2&lt;&gt;1,"",M2/SUMIFS($M$2:$M$18,$A$2:$A$18,'00_README'!$B$13,$P$2:$P$18,1))</x:f>
      </x:c>
      <x:c r="O2" s="305" t="str">
        <x:f>IF(N2="","",N2*LN(N2))</x:f>
      </x:c>
      <x:c r="P2" s="318" t="n">
        <x:f>IF(AND(A2='00_README'!$B$13,D2&lt;&gt;"",H2&lt;&gt;"",L2&lt;&gt;"",'06_INDICATORS_RAW'!W2="READY"),1,0)</x:f>
        <x:v>0</x:v>
      </x:c>
      <x:c r="Q2" s="319" t="str">
        <x:f>IF(A2&lt;&gt;'00_README'!$B$13,"INACTIVE",IF(OR(AND(D2&lt;&gt;"",E2=""),AND(H2&lt;&gt;"",I2=""),AND(L2&lt;&gt;"",M2="")),"ERROR_RANGE",IF(P2=1,"READY","PENDING")))</x:f>
        <x:v>INACTIVE</x:v>
      </x:c>
    </x:row>
    <x:row r="3">
      <x:c r="A3" s="226" t="str">
        <x:v>Tier A</x:v>
      </x:c>
      <x:c r="B3" s="227" t="str">
        <x:v>S2</x:v>
      </x:c>
      <x:c r="C3" s="227" t="str">
        <x:v>Industri Tekstil dan Pakaian</x:v>
      </x:c>
      <x:c r="D3" s="308" t="str">
        <x:f>'06_INDICATORS_RAW'!D3</x:f>
      </x:c>
      <x:c r="E3" s="308" t="str">
        <x:f>IF(D3="","",IF(OR(D3&lt;'00_README'!$B$16,D3&gt;'00_README'!$B$17),"",MAX('00_README'!$B$15,(D3-'00_README'!$B$16)/('00_README'!$B$17-'00_README'!$B$16))))</x:f>
      </x:c>
      <x:c r="F3" s="308" t="str">
        <x:f>IF(P3&lt;&gt;1,"",E3/SUMIFS($E$2:$E$18,$A$2:$A$18,'00_README'!$B$13,$P$2:$P$18,1))</x:f>
      </x:c>
      <x:c r="G3" s="308" t="str">
        <x:f>IF(F3="","",F3*LN(F3))</x:f>
      </x:c>
      <x:c r="H3" s="308" t="str">
        <x:f>'06_INDICATORS_RAW'!I3</x:f>
      </x:c>
      <x:c r="I3" s="308" t="str">
        <x:f>IF(H3="","",IF(OR(H3&lt;'00_README'!$B$18,H3&gt;'00_README'!$B$19),"",MAX('00_README'!$B$15,(H3-'00_README'!$B$18)/('00_README'!$B$19-'00_README'!$B$18))))</x:f>
      </x:c>
      <x:c r="J3" s="308" t="str">
        <x:f>IF(P3&lt;&gt;1,"",I3/SUMIFS($I$2:$I$18,$A$2:$A$18,'00_README'!$B$13,$P$2:$P$18,1))</x:f>
      </x:c>
      <x:c r="K3" s="308" t="str">
        <x:f>IF(J3="","",J3*LN(J3))</x:f>
      </x:c>
      <x:c r="L3" s="308" t="str">
        <x:f>'06_INDICATORS_RAW'!M3</x:f>
      </x:c>
      <x:c r="M3" s="308" t="str">
        <x:f>IF(L3="","",IF(OR(L3&lt;'00_README'!$B$20,L3&gt;'00_README'!$B$21),"",MAX('00_README'!$B$15,(L3-'00_README'!$B$20)/('00_README'!$B$21-'00_README'!$B$20))))</x:f>
      </x:c>
      <x:c r="N3" s="308" t="str">
        <x:f>IF(P3&lt;&gt;1,"",M3/SUMIFS($M$2:$M$18,$A$2:$A$18,'00_README'!$B$13,$P$2:$P$18,1))</x:f>
      </x:c>
      <x:c r="O3" s="308" t="str">
        <x:f>IF(N3="","",N3*LN(N3))</x:f>
      </x:c>
      <x:c r="P3" s="320" t="n">
        <x:f>IF(AND(A3='00_README'!$B$13,D3&lt;&gt;"",H3&lt;&gt;"",L3&lt;&gt;"",'06_INDICATORS_RAW'!W3="READY"),1,0)</x:f>
        <x:v>0</x:v>
      </x:c>
      <x:c r="Q3" s="321" t="str">
        <x:f>IF(A3&lt;&gt;'00_README'!$B$13,"INACTIVE",IF(OR(AND(D3&lt;&gt;"",E3=""),AND(H3&lt;&gt;"",I3=""),AND(L3&lt;&gt;"",M3="")),"ERROR_RANGE",IF(P3=1,"READY","PENDING")))</x:f>
        <x:v>INACTIVE</x:v>
      </x:c>
    </x:row>
    <x:row r="4">
      <x:c r="A4" s="226" t="str">
        <x:v>Tier A</x:v>
      </x:c>
      <x:c r="B4" s="227" t="str">
        <x:v>S3</x:v>
      </x:c>
      <x:c r="C4" s="227" t="str">
        <x:v>Industri Otomotif</x:v>
      </x:c>
      <x:c r="D4" s="308" t="str">
        <x:f>'06_INDICATORS_RAW'!D4</x:f>
      </x:c>
      <x:c r="E4" s="308" t="str">
        <x:f>IF(D4="","",IF(OR(D4&lt;'00_README'!$B$16,D4&gt;'00_README'!$B$17),"",MAX('00_README'!$B$15,(D4-'00_README'!$B$16)/('00_README'!$B$17-'00_README'!$B$16))))</x:f>
      </x:c>
      <x:c r="F4" s="308" t="str">
        <x:f>IF(P4&lt;&gt;1,"",E4/SUMIFS($E$2:$E$18,$A$2:$A$18,'00_README'!$B$13,$P$2:$P$18,1))</x:f>
      </x:c>
      <x:c r="G4" s="308" t="str">
        <x:f>IF(F4="","",F4*LN(F4))</x:f>
      </x:c>
      <x:c r="H4" s="308" t="str">
        <x:f>'06_INDICATORS_RAW'!I4</x:f>
      </x:c>
      <x:c r="I4" s="308" t="str">
        <x:f>IF(H4="","",IF(OR(H4&lt;'00_README'!$B$18,H4&gt;'00_README'!$B$19),"",MAX('00_README'!$B$15,(H4-'00_README'!$B$18)/('00_README'!$B$19-'00_README'!$B$18))))</x:f>
      </x:c>
      <x:c r="J4" s="308" t="str">
        <x:f>IF(P4&lt;&gt;1,"",I4/SUMIFS($I$2:$I$18,$A$2:$A$18,'00_README'!$B$13,$P$2:$P$18,1))</x:f>
      </x:c>
      <x:c r="K4" s="308" t="str">
        <x:f>IF(J4="","",J4*LN(J4))</x:f>
      </x:c>
      <x:c r="L4" s="308" t="str">
        <x:f>'06_INDICATORS_RAW'!M4</x:f>
      </x:c>
      <x:c r="M4" s="308" t="str">
        <x:f>IF(L4="","",IF(OR(L4&lt;'00_README'!$B$20,L4&gt;'00_README'!$B$21),"",MAX('00_README'!$B$15,(L4-'00_README'!$B$20)/('00_README'!$B$21-'00_README'!$B$20))))</x:f>
      </x:c>
      <x:c r="N4" s="308" t="str">
        <x:f>IF(P4&lt;&gt;1,"",M4/SUMIFS($M$2:$M$18,$A$2:$A$18,'00_README'!$B$13,$P$2:$P$18,1))</x:f>
      </x:c>
      <x:c r="O4" s="308" t="str">
        <x:f>IF(N4="","",N4*LN(N4))</x:f>
      </x:c>
      <x:c r="P4" s="320" t="n">
        <x:f>IF(AND(A4='00_README'!$B$13,D4&lt;&gt;"",H4&lt;&gt;"",L4&lt;&gt;"",'06_INDICATORS_RAW'!W4="READY"),1,0)</x:f>
        <x:v>0</x:v>
      </x:c>
      <x:c r="Q4" s="321" t="str">
        <x:f>IF(A4&lt;&gt;'00_README'!$B$13,"INACTIVE",IF(OR(AND(D4&lt;&gt;"",E4=""),AND(H4&lt;&gt;"",I4=""),AND(L4&lt;&gt;"",M4="")),"ERROR_RANGE",IF(P4=1,"READY","PENDING")))</x:f>
        <x:v>INACTIVE</x:v>
      </x:c>
    </x:row>
    <x:row r="5">
      <x:c r="A5" s="226" t="str">
        <x:v>Tier A</x:v>
      </x:c>
      <x:c r="B5" s="227" t="str">
        <x:v>S4</x:v>
      </x:c>
      <x:c r="C5" s="227" t="str">
        <x:v>Industri Kimia dan Farmasi/Alat Kesehatan</x:v>
      </x:c>
      <x:c r="D5" s="308" t="str">
        <x:f>'06_INDICATORS_RAW'!D5</x:f>
      </x:c>
      <x:c r="E5" s="308" t="str">
        <x:f>IF(D5="","",IF(OR(D5&lt;'00_README'!$B$16,D5&gt;'00_README'!$B$17),"",MAX('00_README'!$B$15,(D5-'00_README'!$B$16)/('00_README'!$B$17-'00_README'!$B$16))))</x:f>
      </x:c>
      <x:c r="F5" s="308" t="str">
        <x:f>IF(P5&lt;&gt;1,"",E5/SUMIFS($E$2:$E$18,$A$2:$A$18,'00_README'!$B$13,$P$2:$P$18,1))</x:f>
      </x:c>
      <x:c r="G5" s="308" t="str">
        <x:f>IF(F5="","",F5*LN(F5))</x:f>
      </x:c>
      <x:c r="H5" s="308" t="str">
        <x:f>'06_INDICATORS_RAW'!I5</x:f>
      </x:c>
      <x:c r="I5" s="308" t="str">
        <x:f>IF(H5="","",IF(OR(H5&lt;'00_README'!$B$18,H5&gt;'00_README'!$B$19),"",MAX('00_README'!$B$15,(H5-'00_README'!$B$18)/('00_README'!$B$19-'00_README'!$B$18))))</x:f>
      </x:c>
      <x:c r="J5" s="308" t="str">
        <x:f>IF(P5&lt;&gt;1,"",I5/SUMIFS($I$2:$I$18,$A$2:$A$18,'00_README'!$B$13,$P$2:$P$18,1))</x:f>
      </x:c>
      <x:c r="K5" s="308" t="str">
        <x:f>IF(J5="","",J5*LN(J5))</x:f>
      </x:c>
      <x:c r="L5" s="308" t="str">
        <x:f>'06_INDICATORS_RAW'!M5</x:f>
      </x:c>
      <x:c r="M5" s="308" t="str">
        <x:f>IF(L5="","",IF(OR(L5&lt;'00_README'!$B$20,L5&gt;'00_README'!$B$21),"",MAX('00_README'!$B$15,(L5-'00_README'!$B$20)/('00_README'!$B$21-'00_README'!$B$20))))</x:f>
      </x:c>
      <x:c r="N5" s="308" t="str">
        <x:f>IF(P5&lt;&gt;1,"",M5/SUMIFS($M$2:$M$18,$A$2:$A$18,'00_README'!$B$13,$P$2:$P$18,1))</x:f>
      </x:c>
      <x:c r="O5" s="308" t="str">
        <x:f>IF(N5="","",N5*LN(N5))</x:f>
      </x:c>
      <x:c r="P5" s="320" t="n">
        <x:f>IF(AND(A5='00_README'!$B$13,D5&lt;&gt;"",H5&lt;&gt;"",L5&lt;&gt;"",'06_INDICATORS_RAW'!W5="READY"),1,0)</x:f>
        <x:v>0</x:v>
      </x:c>
      <x:c r="Q5" s="321" t="str">
        <x:f>IF(A5&lt;&gt;'00_README'!$B$13,"INACTIVE",IF(OR(AND(D5&lt;&gt;"",E5=""),AND(H5&lt;&gt;"",I5=""),AND(L5&lt;&gt;"",M5="")),"ERROR_RANGE",IF(P5=1,"READY","PENDING")))</x:f>
        <x:v>INACTIVE</x:v>
      </x:c>
    </x:row>
    <x:row r="6">
      <x:c r="A6" s="226" t="str">
        <x:v>Tier A</x:v>
      </x:c>
      <x:c r="B6" s="227" t="str">
        <x:v>S5</x:v>
      </x:c>
      <x:c r="C6" s="227" t="str">
        <x:v>Industri Elektronik</x:v>
      </x:c>
      <x:c r="D6" s="308" t="str">
        <x:f>'06_INDICATORS_RAW'!D6</x:f>
      </x:c>
      <x:c r="E6" s="308" t="str">
        <x:f>IF(D6="","",IF(OR(D6&lt;'00_README'!$B$16,D6&gt;'00_README'!$B$17),"",MAX('00_README'!$B$15,(D6-'00_README'!$B$16)/('00_README'!$B$17-'00_README'!$B$16))))</x:f>
      </x:c>
      <x:c r="F6" s="308" t="str">
        <x:f>IF(P6&lt;&gt;1,"",E6/SUMIFS($E$2:$E$18,$A$2:$A$18,'00_README'!$B$13,$P$2:$P$18,1))</x:f>
      </x:c>
      <x:c r="G6" s="308" t="str">
        <x:f>IF(F6="","",F6*LN(F6))</x:f>
      </x:c>
      <x:c r="H6" s="308" t="str">
        <x:f>'06_INDICATORS_RAW'!I6</x:f>
      </x:c>
      <x:c r="I6" s="308" t="str">
        <x:f>IF(H6="","",IF(OR(H6&lt;'00_README'!$B$18,H6&gt;'00_README'!$B$19),"",MAX('00_README'!$B$15,(H6-'00_README'!$B$18)/('00_README'!$B$19-'00_README'!$B$18))))</x:f>
      </x:c>
      <x:c r="J6" s="308" t="str">
        <x:f>IF(P6&lt;&gt;1,"",I6/SUMIFS($I$2:$I$18,$A$2:$A$18,'00_README'!$B$13,$P$2:$P$18,1))</x:f>
      </x:c>
      <x:c r="K6" s="308" t="str">
        <x:f>IF(J6="","",J6*LN(J6))</x:f>
      </x:c>
      <x:c r="L6" s="308" t="str">
        <x:f>'06_INDICATORS_RAW'!M6</x:f>
      </x:c>
      <x:c r="M6" s="308" t="str">
        <x:f>IF(L6="","",IF(OR(L6&lt;'00_README'!$B$20,L6&gt;'00_README'!$B$21),"",MAX('00_README'!$B$15,(L6-'00_README'!$B$20)/('00_README'!$B$21-'00_README'!$B$20))))</x:f>
      </x:c>
      <x:c r="N6" s="308" t="str">
        <x:f>IF(P6&lt;&gt;1,"",M6/SUMIFS($M$2:$M$18,$A$2:$A$18,'00_README'!$B$13,$P$2:$P$18,1))</x:f>
      </x:c>
      <x:c r="O6" s="308" t="str">
        <x:f>IF(N6="","",N6*LN(N6))</x:f>
      </x:c>
      <x:c r="P6" s="320" t="n">
        <x:f>IF(AND(A6='00_README'!$B$13,D6&lt;&gt;"",H6&lt;&gt;"",L6&lt;&gt;"",'06_INDICATORS_RAW'!W6="READY"),1,0)</x:f>
        <x:v>0</x:v>
      </x:c>
      <x:c r="Q6" s="321" t="str">
        <x:f>IF(A6&lt;&gt;'00_README'!$B$13,"INACTIVE",IF(OR(AND(D6&lt;&gt;"",E6=""),AND(H6&lt;&gt;"",I6=""),AND(L6&lt;&gt;"",M6="")),"ERROR_RANGE",IF(P6=1,"READY","PENDING")))</x:f>
        <x:v>INACTIVE</x:v>
      </x:c>
    </x:row>
    <x:row r="7">
      <x:c r="A7" s="226" t="str">
        <x:v>Tier A</x:v>
      </x:c>
      <x:c r="B7" s="227" t="str">
        <x:v>S6</x:v>
      </x:c>
      <x:c r="C7" s="227" t="str">
        <x:v>Industri Pengolahan Lainnya</x:v>
      </x:c>
      <x:c r="D7" s="308" t="str">
        <x:f>'06_INDICATORS_RAW'!D7</x:f>
      </x:c>
      <x:c r="E7" s="308" t="str">
        <x:f>IF(D7="","",IF(OR(D7&lt;'00_README'!$B$16,D7&gt;'00_README'!$B$17),"",MAX('00_README'!$B$15,(D7-'00_README'!$B$16)/('00_README'!$B$17-'00_README'!$B$16))))</x:f>
      </x:c>
      <x:c r="F7" s="308" t="str">
        <x:f>IF(P7&lt;&gt;1,"",E7/SUMIFS($E$2:$E$18,$A$2:$A$18,'00_README'!$B$13,$P$2:$P$18,1))</x:f>
      </x:c>
      <x:c r="G7" s="308" t="str">
        <x:f>IF(F7="","",F7*LN(F7))</x:f>
      </x:c>
      <x:c r="H7" s="308" t="str">
        <x:f>'06_INDICATORS_RAW'!I7</x:f>
      </x:c>
      <x:c r="I7" s="308" t="str">
        <x:f>IF(H7="","",IF(OR(H7&lt;'00_README'!$B$18,H7&gt;'00_README'!$B$19),"",MAX('00_README'!$B$15,(H7-'00_README'!$B$18)/('00_README'!$B$19-'00_README'!$B$18))))</x:f>
      </x:c>
      <x:c r="J7" s="308" t="str">
        <x:f>IF(P7&lt;&gt;1,"",I7/SUMIFS($I$2:$I$18,$A$2:$A$18,'00_README'!$B$13,$P$2:$P$18,1))</x:f>
      </x:c>
      <x:c r="K7" s="308" t="str">
        <x:f>IF(J7="","",J7*LN(J7))</x:f>
      </x:c>
      <x:c r="L7" s="308" t="str">
        <x:f>'06_INDICATORS_RAW'!M7</x:f>
      </x:c>
      <x:c r="M7" s="308" t="str">
        <x:f>IF(L7="","",IF(OR(L7&lt;'00_README'!$B$20,L7&gt;'00_README'!$B$21),"",MAX('00_README'!$B$15,(L7-'00_README'!$B$20)/('00_README'!$B$21-'00_README'!$B$20))))</x:f>
      </x:c>
      <x:c r="N7" s="308" t="str">
        <x:f>IF(P7&lt;&gt;1,"",M7/SUMIFS($M$2:$M$18,$A$2:$A$18,'00_README'!$B$13,$P$2:$P$18,1))</x:f>
      </x:c>
      <x:c r="O7" s="308" t="str">
        <x:f>IF(N7="","",N7*LN(N7))</x:f>
      </x:c>
      <x:c r="P7" s="320" t="n">
        <x:f>IF(AND(A7='00_README'!$B$13,D7&lt;&gt;"",H7&lt;&gt;"",L7&lt;&gt;"",'06_INDICATORS_RAW'!W7="READY"),1,0)</x:f>
        <x:v>0</x:v>
      </x:c>
      <x:c r="Q7" s="321" t="str">
        <x:f>IF(A7&lt;&gt;'00_README'!$B$13,"INACTIVE",IF(OR(AND(D7&lt;&gt;"",E7=""),AND(H7&lt;&gt;"",I7=""),AND(L7&lt;&gt;"",M7="")),"ERROR_RANGE",IF(P7=1,"READY","PENDING")))</x:f>
        <x:v>INACTIVE</x:v>
      </x:c>
    </x:row>
    <x:row r="8">
      <x:c r="A8" s="226" t="str">
        <x:v>Tier A</x:v>
      </x:c>
      <x:c r="B8" s="227" t="str">
        <x:v>S7</x:v>
      </x:c>
      <x:c r="C8" s="227" t="str">
        <x:v>Pertanian, Kehutanan, dan Perikanan</x:v>
      </x:c>
      <x:c r="D8" s="308" t="n">
        <x:f>'06_INDICATORS_RAW'!D8</x:f>
        <x:v>97.85001943287334</x:v>
      </x:c>
      <x:c r="E8" s="308" t="n">
        <x:f>IF(D8="","",IF(OR(D8&lt;'00_README'!$B$16,D8&gt;'00_README'!$B$17),"",MAX('00_README'!$B$15,(D8-'00_README'!$B$16)/('00_README'!$B$17-'00_README'!$B$16))))</x:f>
        <x:v>0.9785001943287334</x:v>
      </x:c>
      <x:c r="F8" s="308" t="str">
        <x:f>IF(P8&lt;&gt;1,"",E8/SUMIFS($E$2:$E$18,$A$2:$A$18,'00_README'!$B$13,$P$2:$P$18,1))</x:f>
      </x:c>
      <x:c r="G8" s="308" t="str">
        <x:f>IF(F8="","",F8*LN(F8))</x:f>
      </x:c>
      <x:c r="H8" s="308" t="str">
        <x:f>'06_INDICATORS_RAW'!I8</x:f>
      </x:c>
      <x:c r="I8" s="308" t="str">
        <x:f>IF(H8="","",IF(OR(H8&lt;'00_README'!$B$18,H8&gt;'00_README'!$B$19),"",MAX('00_README'!$B$15,(H8-'00_README'!$B$18)/('00_README'!$B$19-'00_README'!$B$18))))</x:f>
      </x:c>
      <x:c r="J8" s="308" t="str">
        <x:f>IF(P8&lt;&gt;1,"",I8/SUMIFS($I$2:$I$18,$A$2:$A$18,'00_README'!$B$13,$P$2:$P$18,1))</x:f>
      </x:c>
      <x:c r="K8" s="308" t="str">
        <x:f>IF(J8="","",J8*LN(J8))</x:f>
      </x:c>
      <x:c r="L8" s="308" t="str">
        <x:f>'06_INDICATORS_RAW'!M8</x:f>
      </x:c>
      <x:c r="M8" s="308" t="str">
        <x:f>IF(L8="","",IF(OR(L8&lt;'00_README'!$B$20,L8&gt;'00_README'!$B$21),"",MAX('00_README'!$B$15,(L8-'00_README'!$B$20)/('00_README'!$B$21-'00_README'!$B$20))))</x:f>
      </x:c>
      <x:c r="N8" s="308" t="str">
        <x:f>IF(P8&lt;&gt;1,"",M8/SUMIFS($M$2:$M$18,$A$2:$A$18,'00_README'!$B$13,$P$2:$P$18,1))</x:f>
      </x:c>
      <x:c r="O8" s="308" t="str">
        <x:f>IF(N8="","",N8*LN(N8))</x:f>
      </x:c>
      <x:c r="P8" s="320" t="n">
        <x:f>IF(AND(A8='00_README'!$B$13,D8&lt;&gt;"",H8&lt;&gt;"",L8&lt;&gt;"",'06_INDICATORS_RAW'!W8="READY"),1,0)</x:f>
        <x:v>0</x:v>
      </x:c>
      <x:c r="Q8" s="321" t="str">
        <x:f>IF(A8&lt;&gt;'00_README'!$B$13,"INACTIVE",IF(OR(AND(D8&lt;&gt;"",E8=""),AND(H8&lt;&gt;"",I8=""),AND(L8&lt;&gt;"",M8="")),"ERROR_RANGE",IF(P8=1,"READY","PENDING")))</x:f>
        <x:v>INACTIVE</x:v>
      </x:c>
    </x:row>
    <x:row r="9">
      <x:c r="A9" s="226" t="str">
        <x:v>Tier A</x:v>
      </x:c>
      <x:c r="B9" s="227" t="str">
        <x:v>S8</x:v>
      </x:c>
      <x:c r="C9" s="227" t="str">
        <x:v>Perdagangan Besar dan Eceran</x:v>
      </x:c>
      <x:c r="D9" s="308" t="n">
        <x:f>'06_INDICATORS_RAW'!D9</x:f>
        <x:v>90.78497277815515</x:v>
      </x:c>
      <x:c r="E9" s="308" t="n">
        <x:f>IF(D9="","",IF(OR(D9&lt;'00_README'!$B$16,D9&gt;'00_README'!$B$17),"",MAX('00_README'!$B$15,(D9-'00_README'!$B$16)/('00_README'!$B$17-'00_README'!$B$16))))</x:f>
        <x:v>0.9078497277815515</x:v>
      </x:c>
      <x:c r="F9" s="308" t="str">
        <x:f>IF(P9&lt;&gt;1,"",E9/SUMIFS($E$2:$E$18,$A$2:$A$18,'00_README'!$B$13,$P$2:$P$18,1))</x:f>
      </x:c>
      <x:c r="G9" s="308" t="str">
        <x:f>IF(F9="","",F9*LN(F9))</x:f>
      </x:c>
      <x:c r="H9" s="308" t="str">
        <x:f>'06_INDICATORS_RAW'!I9</x:f>
      </x:c>
      <x:c r="I9" s="308" t="str">
        <x:f>IF(H9="","",IF(OR(H9&lt;'00_README'!$B$18,H9&gt;'00_README'!$B$19),"",MAX('00_README'!$B$15,(H9-'00_README'!$B$18)/('00_README'!$B$19-'00_README'!$B$18))))</x:f>
      </x:c>
      <x:c r="J9" s="308" t="str">
        <x:f>IF(P9&lt;&gt;1,"",I9/SUMIFS($I$2:$I$18,$A$2:$A$18,'00_README'!$B$13,$P$2:$P$18,1))</x:f>
      </x:c>
      <x:c r="K9" s="308" t="str">
        <x:f>IF(J9="","",J9*LN(J9))</x:f>
      </x:c>
      <x:c r="L9" s="308" t="str">
        <x:f>'06_INDICATORS_RAW'!M9</x:f>
      </x:c>
      <x:c r="M9" s="308" t="str">
        <x:f>IF(L9="","",IF(OR(L9&lt;'00_README'!$B$20,L9&gt;'00_README'!$B$21),"",MAX('00_README'!$B$15,(L9-'00_README'!$B$20)/('00_README'!$B$21-'00_README'!$B$20))))</x:f>
      </x:c>
      <x:c r="N9" s="308" t="str">
        <x:f>IF(P9&lt;&gt;1,"",M9/SUMIFS($M$2:$M$18,$A$2:$A$18,'00_README'!$B$13,$P$2:$P$18,1))</x:f>
      </x:c>
      <x:c r="O9" s="308" t="str">
        <x:f>IF(N9="","",N9*LN(N9))</x:f>
      </x:c>
      <x:c r="P9" s="320" t="n">
        <x:f>IF(AND(A9='00_README'!$B$13,D9&lt;&gt;"",H9&lt;&gt;"",L9&lt;&gt;"",'06_INDICATORS_RAW'!W9="READY"),1,0)</x:f>
        <x:v>0</x:v>
      </x:c>
      <x:c r="Q9" s="321" t="str">
        <x:f>IF(A9&lt;&gt;'00_README'!$B$13,"INACTIVE",IF(OR(AND(D9&lt;&gt;"",E9=""),AND(H9&lt;&gt;"",I9=""),AND(L9&lt;&gt;"",M9="")),"ERROR_RANGE",IF(P9=1,"READY","PENDING")))</x:f>
        <x:v>INACTIVE</x:v>
      </x:c>
    </x:row>
    <x:row r="10">
      <x:c r="A10" s="226" t="str">
        <x:v>Tier A</x:v>
      </x:c>
      <x:c r="B10" s="227" t="str">
        <x:v>S9</x:v>
      </x:c>
      <x:c r="C10" s="227" t="str">
        <x:v>Transportasi dan Pergudangan</x:v>
      </x:c>
      <x:c r="D10" s="308" t="n">
        <x:f>'06_INDICATORS_RAW'!D10</x:f>
        <x:v>90.84027543008044</x:v>
      </x:c>
      <x:c r="E10" s="308" t="n">
        <x:f>IF(D10="","",IF(OR(D10&lt;'00_README'!$B$16,D10&gt;'00_README'!$B$17),"",MAX('00_README'!$B$15,(D10-'00_README'!$B$16)/('00_README'!$B$17-'00_README'!$B$16))))</x:f>
        <x:v>0.9084027543008044</x:v>
      </x:c>
      <x:c r="F10" s="308" t="str">
        <x:f>IF(P10&lt;&gt;1,"",E10/SUMIFS($E$2:$E$18,$A$2:$A$18,'00_README'!$B$13,$P$2:$P$18,1))</x:f>
      </x:c>
      <x:c r="G10" s="308" t="str">
        <x:f>IF(F10="","",F10*LN(F10))</x:f>
      </x:c>
      <x:c r="H10" s="308" t="str">
        <x:f>'06_INDICATORS_RAW'!I10</x:f>
      </x:c>
      <x:c r="I10" s="308" t="str">
        <x:f>IF(H10="","",IF(OR(H10&lt;'00_README'!$B$18,H10&gt;'00_README'!$B$19),"",MAX('00_README'!$B$15,(H10-'00_README'!$B$18)/('00_README'!$B$19-'00_README'!$B$18))))</x:f>
      </x:c>
      <x:c r="J10" s="308" t="str">
        <x:f>IF(P10&lt;&gt;1,"",I10/SUMIFS($I$2:$I$18,$A$2:$A$18,'00_README'!$B$13,$P$2:$P$18,1))</x:f>
      </x:c>
      <x:c r="K10" s="308" t="str">
        <x:f>IF(J10="","",J10*LN(J10))</x:f>
      </x:c>
      <x:c r="L10" s="308" t="str">
        <x:f>'06_INDICATORS_RAW'!M10</x:f>
      </x:c>
      <x:c r="M10" s="308" t="str">
        <x:f>IF(L10="","",IF(OR(L10&lt;'00_README'!$B$20,L10&gt;'00_README'!$B$21),"",MAX('00_README'!$B$15,(L10-'00_README'!$B$20)/('00_README'!$B$21-'00_README'!$B$20))))</x:f>
      </x:c>
      <x:c r="N10" s="308" t="str">
        <x:f>IF(P10&lt;&gt;1,"",M10/SUMIFS($M$2:$M$18,$A$2:$A$18,'00_README'!$B$13,$P$2:$P$18,1))</x:f>
      </x:c>
      <x:c r="O10" s="308" t="str">
        <x:f>IF(N10="","",N10*LN(N10))</x:f>
      </x:c>
      <x:c r="P10" s="320" t="n">
        <x:f>IF(AND(A10='00_README'!$B$13,D10&lt;&gt;"",H10&lt;&gt;"",L10&lt;&gt;"",'06_INDICATORS_RAW'!W10="READY"),1,0)</x:f>
        <x:v>0</x:v>
      </x:c>
      <x:c r="Q10" s="321" t="str">
        <x:f>IF(A10&lt;&gt;'00_README'!$B$13,"INACTIVE",IF(OR(AND(D10&lt;&gt;"",E10=""),AND(H10&lt;&gt;"",I10=""),AND(L10&lt;&gt;"",M10="")),"ERROR_RANGE",IF(P10=1,"READY","PENDING")))</x:f>
        <x:v>INACTIVE</x:v>
      </x:c>
    </x:row>
    <x:row r="11">
      <x:c r="A11" s="226" t="str">
        <x:v>Tier A</x:v>
      </x:c>
      <x:c r="B11" s="227" t="str">
        <x:v>S10</x:v>
      </x:c>
      <x:c r="C11" s="227" t="str">
        <x:v>Penyediaan Akomodasi dan Makan Minum</x:v>
      </x:c>
      <x:c r="D11" s="308" t="n">
        <x:f>'06_INDICATORS_RAW'!D11</x:f>
        <x:v>93.03385506311311</x:v>
      </x:c>
      <x:c r="E11" s="308" t="n">
        <x:f>IF(D11="","",IF(OR(D11&lt;'00_README'!$B$16,D11&gt;'00_README'!$B$17),"",MAX('00_README'!$B$15,(D11-'00_README'!$B$16)/('00_README'!$B$17-'00_README'!$B$16))))</x:f>
        <x:v>0.9303385506311311</x:v>
      </x:c>
      <x:c r="F11" s="308" t="str">
        <x:f>IF(P11&lt;&gt;1,"",E11/SUMIFS($E$2:$E$18,$A$2:$A$18,'00_README'!$B$13,$P$2:$P$18,1))</x:f>
      </x:c>
      <x:c r="G11" s="308" t="str">
        <x:f>IF(F11="","",F11*LN(F11))</x:f>
      </x:c>
      <x:c r="H11" s="308" t="str">
        <x:f>'06_INDICATORS_RAW'!I11</x:f>
      </x:c>
      <x:c r="I11" s="308" t="str">
        <x:f>IF(H11="","",IF(OR(H11&lt;'00_README'!$B$18,H11&gt;'00_README'!$B$19),"",MAX('00_README'!$B$15,(H11-'00_README'!$B$18)/('00_README'!$B$19-'00_README'!$B$18))))</x:f>
      </x:c>
      <x:c r="J11" s="308" t="str">
        <x:f>IF(P11&lt;&gt;1,"",I11/SUMIFS($I$2:$I$18,$A$2:$A$18,'00_README'!$B$13,$P$2:$P$18,1))</x:f>
      </x:c>
      <x:c r="K11" s="308" t="str">
        <x:f>IF(J11="","",J11*LN(J11))</x:f>
      </x:c>
      <x:c r="L11" s="308" t="str">
        <x:f>'06_INDICATORS_RAW'!M11</x:f>
      </x:c>
      <x:c r="M11" s="308" t="str">
        <x:f>IF(L11="","",IF(OR(L11&lt;'00_README'!$B$20,L11&gt;'00_README'!$B$21),"",MAX('00_README'!$B$15,(L11-'00_README'!$B$20)/('00_README'!$B$21-'00_README'!$B$20))))</x:f>
      </x:c>
      <x:c r="N11" s="308" t="str">
        <x:f>IF(P11&lt;&gt;1,"",M11/SUMIFS($M$2:$M$18,$A$2:$A$18,'00_README'!$B$13,$P$2:$P$18,1))</x:f>
      </x:c>
      <x:c r="O11" s="308" t="str">
        <x:f>IF(N11="","",N11*LN(N11))</x:f>
      </x:c>
      <x:c r="P11" s="320" t="n">
        <x:f>IF(AND(A11='00_README'!$B$13,D11&lt;&gt;"",H11&lt;&gt;"",L11&lt;&gt;"",'06_INDICATORS_RAW'!W11="READY"),1,0)</x:f>
        <x:v>0</x:v>
      </x:c>
      <x:c r="Q11" s="321" t="str">
        <x:f>IF(A11&lt;&gt;'00_README'!$B$13,"INACTIVE",IF(OR(AND(D11&lt;&gt;"",E11=""),AND(H11&lt;&gt;"",I11=""),AND(L11&lt;&gt;"",M11="")),"ERROR_RANGE",IF(P11=1,"READY","PENDING")))</x:f>
        <x:v>INACTIVE</x:v>
      </x:c>
    </x:row>
    <x:row r="12">
      <x:c r="A12" s="226" t="str">
        <x:v>Tier A</x:v>
      </x:c>
      <x:c r="B12" s="227" t="str">
        <x:v>S11</x:v>
      </x:c>
      <x:c r="C12" s="227" t="str">
        <x:v>Aktivitas Jasa Lainnya</x:v>
      </x:c>
      <x:c r="D12" s="308" t="n">
        <x:f>'06_INDICATORS_RAW'!D12</x:f>
        <x:v>91.65244514023526</x:v>
      </x:c>
      <x:c r="E12" s="308" t="n">
        <x:f>IF(D12="","",IF(OR(D12&lt;'00_README'!$B$16,D12&gt;'00_README'!$B$17),"",MAX('00_README'!$B$15,(D12-'00_README'!$B$16)/('00_README'!$B$17-'00_README'!$B$16))))</x:f>
        <x:v>0.9165244514023526</x:v>
      </x:c>
      <x:c r="F12" s="308" t="str">
        <x:f>IF(P12&lt;&gt;1,"",E12/SUMIFS($E$2:$E$18,$A$2:$A$18,'00_README'!$B$13,$P$2:$P$18,1))</x:f>
      </x:c>
      <x:c r="G12" s="308" t="str">
        <x:f>IF(F12="","",F12*LN(F12))</x:f>
      </x:c>
      <x:c r="H12" s="308" t="str">
        <x:f>'06_INDICATORS_RAW'!I12</x:f>
      </x:c>
      <x:c r="I12" s="308" t="str">
        <x:f>IF(H12="","",IF(OR(H12&lt;'00_README'!$B$18,H12&gt;'00_README'!$B$19),"",MAX('00_README'!$B$15,(H12-'00_README'!$B$18)/('00_README'!$B$19-'00_README'!$B$18))))</x:f>
      </x:c>
      <x:c r="J12" s="308" t="str">
        <x:f>IF(P12&lt;&gt;1,"",I12/SUMIFS($I$2:$I$18,$A$2:$A$18,'00_README'!$B$13,$P$2:$P$18,1))</x:f>
      </x:c>
      <x:c r="K12" s="308" t="str">
        <x:f>IF(J12="","",J12*LN(J12))</x:f>
      </x:c>
      <x:c r="L12" s="308" t="str">
        <x:f>'06_INDICATORS_RAW'!M12</x:f>
      </x:c>
      <x:c r="M12" s="308" t="str">
        <x:f>IF(L12="","",IF(OR(L12&lt;'00_README'!$B$20,L12&gt;'00_README'!$B$21),"",MAX('00_README'!$B$15,(L12-'00_README'!$B$20)/('00_README'!$B$21-'00_README'!$B$20))))</x:f>
      </x:c>
      <x:c r="N12" s="308" t="str">
        <x:f>IF(P12&lt;&gt;1,"",M12/SUMIFS($M$2:$M$18,$A$2:$A$18,'00_README'!$B$13,$P$2:$P$18,1))</x:f>
      </x:c>
      <x:c r="O12" s="308" t="str">
        <x:f>IF(N12="","",N12*LN(N12))</x:f>
      </x:c>
      <x:c r="P12" s="320" t="n">
        <x:f>IF(AND(A12='00_README'!$B$13,D12&lt;&gt;"",H12&lt;&gt;"",L12&lt;&gt;"",'06_INDICATORS_RAW'!W12="READY"),1,0)</x:f>
        <x:v>0</x:v>
      </x:c>
      <x:c r="Q12" s="321" t="str">
        <x:f>IF(A12&lt;&gt;'00_README'!$B$13,"INACTIVE",IF(OR(AND(D12&lt;&gt;"",E12=""),AND(H12&lt;&gt;"",I12=""),AND(L12&lt;&gt;"",M12="")),"ERROR_RANGE",IF(P12=1,"READY","PENDING")))</x:f>
        <x:v>INACTIVE</x:v>
      </x:c>
    </x:row>
    <x:row r="13">
      <x:c r="A13" s="226" t="str">
        <x:v>Tier B</x:v>
      </x:c>
      <x:c r="B13" s="227" t="str">
        <x:v>B1</x:v>
      </x:c>
      <x:c r="C13" s="227" t="str">
        <x:v>Industri Pengolahan (Gabungan S1–S6)</x:v>
      </x:c>
      <x:c r="D13" s="308" t="n">
        <x:f>'06_INDICATORS_RAW'!D13</x:f>
        <x:v>93.46307749615497</x:v>
      </x:c>
      <x:c r="E13" s="308" t="n">
        <x:f>IF(D13="","",IF(OR(D13&lt;'00_README'!$B$16,D13&gt;'00_README'!$B$17),"",MAX('00_README'!$B$15,(D13-'00_README'!$B$16)/('00_README'!$B$17-'00_README'!$B$16))))</x:f>
        <x:v>0.9346307749615497</x:v>
      </x:c>
      <x:c r="F13" s="308" t="str">
        <x:f>IF(P13&lt;&gt;1,"",E13/SUMIFS($E$2:$E$18,$A$2:$A$18,'00_README'!$B$13,$P$2:$P$18,1))</x:f>
      </x:c>
      <x:c r="G13" s="308" t="str">
        <x:f>IF(F13="","",F13*LN(F13))</x:f>
      </x:c>
      <x:c r="H13" s="308" t="str">
        <x:f>'06_INDICATORS_RAW'!I13</x:f>
      </x:c>
      <x:c r="I13" s="308" t="str">
        <x:f>IF(H13="","",IF(OR(H13&lt;'00_README'!$B$18,H13&gt;'00_README'!$B$19),"",MAX('00_README'!$B$15,(H13-'00_README'!$B$18)/('00_README'!$B$19-'00_README'!$B$18))))</x:f>
      </x:c>
      <x:c r="J13" s="308" t="str">
        <x:f>IF(P13&lt;&gt;1,"",I13/SUMIFS($I$2:$I$18,$A$2:$A$18,'00_README'!$B$13,$P$2:$P$18,1))</x:f>
      </x:c>
      <x:c r="K13" s="308" t="str">
        <x:f>IF(J13="","",J13*LN(J13))</x:f>
      </x:c>
      <x:c r="L13" s="308" t="str">
        <x:f>'06_INDICATORS_RAW'!M13</x:f>
      </x:c>
      <x:c r="M13" s="308" t="str">
        <x:f>IF(L13="","",IF(OR(L13&lt;'00_README'!$B$20,L13&gt;'00_README'!$B$21),"",MAX('00_README'!$B$15,(L13-'00_README'!$B$20)/('00_README'!$B$21-'00_README'!$B$20))))</x:f>
      </x:c>
      <x:c r="N13" s="308" t="str">
        <x:f>IF(P13&lt;&gt;1,"",M13/SUMIFS($M$2:$M$18,$A$2:$A$18,'00_README'!$B$13,$P$2:$P$18,1))</x:f>
      </x:c>
      <x:c r="O13" s="308" t="str">
        <x:f>IF(N13="","",N13*LN(N13))</x:f>
      </x:c>
      <x:c r="P13" s="320" t="n">
        <x:f>IF(AND(A13='00_README'!$B$13,D13&lt;&gt;"",H13&lt;&gt;"",L13&lt;&gt;"",'06_INDICATORS_RAW'!W13="READY"),1,0)</x:f>
        <x:v>0</x:v>
      </x:c>
      <x:c r="Q13" s="321" t="str">
        <x:f>IF(A13&lt;&gt;'00_README'!$B$13,"INACTIVE",IF(OR(AND(D13&lt;&gt;"",E13=""),AND(H13&lt;&gt;"",I13=""),AND(L13&lt;&gt;"",M13="")),"ERROR_RANGE",IF(P13=1,"READY","PENDING")))</x:f>
        <x:v>INACTIVE</x:v>
      </x:c>
    </x:row>
    <x:row r="14">
      <x:c r="A14" s="226" t="str">
        <x:v>Tier B</x:v>
      </x:c>
      <x:c r="B14" s="227" t="str">
        <x:v>B2</x:v>
      </x:c>
      <x:c r="C14" s="227" t="str">
        <x:v>Pertanian, Kehutanan, dan Perikanan</x:v>
      </x:c>
      <x:c r="D14" s="308" t="n">
        <x:f>'06_INDICATORS_RAW'!D14</x:f>
        <x:v>97.85001943287334</x:v>
      </x:c>
      <x:c r="E14" s="308" t="n">
        <x:f>IF(D14="","",IF(OR(D14&lt;'00_README'!$B$16,D14&gt;'00_README'!$B$17),"",MAX('00_README'!$B$15,(D14-'00_README'!$B$16)/('00_README'!$B$17-'00_README'!$B$16))))</x:f>
        <x:v>0.9785001943287334</x:v>
      </x:c>
      <x:c r="F14" s="308" t="str">
        <x:f>IF(P14&lt;&gt;1,"",E14/SUMIFS($E$2:$E$18,$A$2:$A$18,'00_README'!$B$13,$P$2:$P$18,1))</x:f>
      </x:c>
      <x:c r="G14" s="308" t="str">
        <x:f>IF(F14="","",F14*LN(F14))</x:f>
      </x:c>
      <x:c r="H14" s="308" t="str">
        <x:f>'06_INDICATORS_RAW'!I14</x:f>
      </x:c>
      <x:c r="I14" s="308" t="str">
        <x:f>IF(H14="","",IF(OR(H14&lt;'00_README'!$B$18,H14&gt;'00_README'!$B$19),"",MAX('00_README'!$B$15,(H14-'00_README'!$B$18)/('00_README'!$B$19-'00_README'!$B$18))))</x:f>
      </x:c>
      <x:c r="J14" s="308" t="str">
        <x:f>IF(P14&lt;&gt;1,"",I14/SUMIFS($I$2:$I$18,$A$2:$A$18,'00_README'!$B$13,$P$2:$P$18,1))</x:f>
      </x:c>
      <x:c r="K14" s="308" t="str">
        <x:f>IF(J14="","",J14*LN(J14))</x:f>
      </x:c>
      <x:c r="L14" s="308" t="str">
        <x:f>'06_INDICATORS_RAW'!M14</x:f>
      </x:c>
      <x:c r="M14" s="308" t="str">
        <x:f>IF(L14="","",IF(OR(L14&lt;'00_README'!$B$20,L14&gt;'00_README'!$B$21),"",MAX('00_README'!$B$15,(L14-'00_README'!$B$20)/('00_README'!$B$21-'00_README'!$B$20))))</x:f>
      </x:c>
      <x:c r="N14" s="308" t="str">
        <x:f>IF(P14&lt;&gt;1,"",M14/SUMIFS($M$2:$M$18,$A$2:$A$18,'00_README'!$B$13,$P$2:$P$18,1))</x:f>
      </x:c>
      <x:c r="O14" s="308" t="str">
        <x:f>IF(N14="","",N14*LN(N14))</x:f>
      </x:c>
      <x:c r="P14" s="320" t="n">
        <x:f>IF(AND(A14='00_README'!$B$13,D14&lt;&gt;"",H14&lt;&gt;"",L14&lt;&gt;"",'06_INDICATORS_RAW'!W14="READY"),1,0)</x:f>
        <x:v>0</x:v>
      </x:c>
      <x:c r="Q14" s="321" t="str">
        <x:f>IF(A14&lt;&gt;'00_README'!$B$13,"INACTIVE",IF(OR(AND(D14&lt;&gt;"",E14=""),AND(H14&lt;&gt;"",I14=""),AND(L14&lt;&gt;"",M14="")),"ERROR_RANGE",IF(P14=1,"READY","PENDING")))</x:f>
        <x:v>INACTIVE</x:v>
      </x:c>
    </x:row>
    <x:row r="15">
      <x:c r="A15" s="226" t="str">
        <x:v>Tier B</x:v>
      </x:c>
      <x:c r="B15" s="227" t="str">
        <x:v>B3</x:v>
      </x:c>
      <x:c r="C15" s="227" t="str">
        <x:v>Perdagangan Besar dan Eceran</x:v>
      </x:c>
      <x:c r="D15" s="308" t="n">
        <x:f>'06_INDICATORS_RAW'!D15</x:f>
        <x:v>90.78497277815515</x:v>
      </x:c>
      <x:c r="E15" s="308" t="n">
        <x:f>IF(D15="","",IF(OR(D15&lt;'00_README'!$B$16,D15&gt;'00_README'!$B$17),"",MAX('00_README'!$B$15,(D15-'00_README'!$B$16)/('00_README'!$B$17-'00_README'!$B$16))))</x:f>
        <x:v>0.9078497277815515</x:v>
      </x:c>
      <x:c r="F15" s="308" t="str">
        <x:f>IF(P15&lt;&gt;1,"",E15/SUMIFS($E$2:$E$18,$A$2:$A$18,'00_README'!$B$13,$P$2:$P$18,1))</x:f>
      </x:c>
      <x:c r="G15" s="308" t="str">
        <x:f>IF(F15="","",F15*LN(F15))</x:f>
      </x:c>
      <x:c r="H15" s="308" t="str">
        <x:f>'06_INDICATORS_RAW'!I15</x:f>
      </x:c>
      <x:c r="I15" s="308" t="str">
        <x:f>IF(H15="","",IF(OR(H15&lt;'00_README'!$B$18,H15&gt;'00_README'!$B$19),"",MAX('00_README'!$B$15,(H15-'00_README'!$B$18)/('00_README'!$B$19-'00_README'!$B$18))))</x:f>
      </x:c>
      <x:c r="J15" s="308" t="str">
        <x:f>IF(P15&lt;&gt;1,"",I15/SUMIFS($I$2:$I$18,$A$2:$A$18,'00_README'!$B$13,$P$2:$P$18,1))</x:f>
      </x:c>
      <x:c r="K15" s="308" t="str">
        <x:f>IF(J15="","",J15*LN(J15))</x:f>
      </x:c>
      <x:c r="L15" s="308" t="str">
        <x:f>'06_INDICATORS_RAW'!M15</x:f>
      </x:c>
      <x:c r="M15" s="308" t="str">
        <x:f>IF(L15="","",IF(OR(L15&lt;'00_README'!$B$20,L15&gt;'00_README'!$B$21),"",MAX('00_README'!$B$15,(L15-'00_README'!$B$20)/('00_README'!$B$21-'00_README'!$B$20))))</x:f>
      </x:c>
      <x:c r="N15" s="308" t="str">
        <x:f>IF(P15&lt;&gt;1,"",M15/SUMIFS($M$2:$M$18,$A$2:$A$18,'00_README'!$B$13,$P$2:$P$18,1))</x:f>
      </x:c>
      <x:c r="O15" s="308" t="str">
        <x:f>IF(N15="","",N15*LN(N15))</x:f>
      </x:c>
      <x:c r="P15" s="320" t="n">
        <x:f>IF(AND(A15='00_README'!$B$13,D15&lt;&gt;"",H15&lt;&gt;"",L15&lt;&gt;"",'06_INDICATORS_RAW'!W15="READY"),1,0)</x:f>
        <x:v>0</x:v>
      </x:c>
      <x:c r="Q15" s="321" t="str">
        <x:f>IF(A15&lt;&gt;'00_README'!$B$13,"INACTIVE",IF(OR(AND(D15&lt;&gt;"",E15=""),AND(H15&lt;&gt;"",I15=""),AND(L15&lt;&gt;"",M15="")),"ERROR_RANGE",IF(P15=1,"READY","PENDING")))</x:f>
        <x:v>INACTIVE</x:v>
      </x:c>
    </x:row>
    <x:row r="16">
      <x:c r="A16" s="226" t="str">
        <x:v>Tier B</x:v>
      </x:c>
      <x:c r="B16" s="227" t="str">
        <x:v>B4</x:v>
      </x:c>
      <x:c r="C16" s="227" t="str">
        <x:v>Transportasi dan Pergudangan</x:v>
      </x:c>
      <x:c r="D16" s="308" t="n">
        <x:f>'06_INDICATORS_RAW'!D16</x:f>
        <x:v>90.84027543008044</x:v>
      </x:c>
      <x:c r="E16" s="308" t="n">
        <x:f>IF(D16="","",IF(OR(D16&lt;'00_README'!$B$16,D16&gt;'00_README'!$B$17),"",MAX('00_README'!$B$15,(D16-'00_README'!$B$16)/('00_README'!$B$17-'00_README'!$B$16))))</x:f>
        <x:v>0.9084027543008044</x:v>
      </x:c>
      <x:c r="F16" s="308" t="str">
        <x:f>IF(P16&lt;&gt;1,"",E16/SUMIFS($E$2:$E$18,$A$2:$A$18,'00_README'!$B$13,$P$2:$P$18,1))</x:f>
      </x:c>
      <x:c r="G16" s="308" t="str">
        <x:f>IF(F16="","",F16*LN(F16))</x:f>
      </x:c>
      <x:c r="H16" s="308" t="str">
        <x:f>'06_INDICATORS_RAW'!I16</x:f>
      </x:c>
      <x:c r="I16" s="308" t="str">
        <x:f>IF(H16="","",IF(OR(H16&lt;'00_README'!$B$18,H16&gt;'00_README'!$B$19),"",MAX('00_README'!$B$15,(H16-'00_README'!$B$18)/('00_README'!$B$19-'00_README'!$B$18))))</x:f>
      </x:c>
      <x:c r="J16" s="308" t="str">
        <x:f>IF(P16&lt;&gt;1,"",I16/SUMIFS($I$2:$I$18,$A$2:$A$18,'00_README'!$B$13,$P$2:$P$18,1))</x:f>
      </x:c>
      <x:c r="K16" s="308" t="str">
        <x:f>IF(J16="","",J16*LN(J16))</x:f>
      </x:c>
      <x:c r="L16" s="308" t="str">
        <x:f>'06_INDICATORS_RAW'!M16</x:f>
      </x:c>
      <x:c r="M16" s="308" t="str">
        <x:f>IF(L16="","",IF(OR(L16&lt;'00_README'!$B$20,L16&gt;'00_README'!$B$21),"",MAX('00_README'!$B$15,(L16-'00_README'!$B$20)/('00_README'!$B$21-'00_README'!$B$20))))</x:f>
      </x:c>
      <x:c r="N16" s="308" t="str">
        <x:f>IF(P16&lt;&gt;1,"",M16/SUMIFS($M$2:$M$18,$A$2:$A$18,'00_README'!$B$13,$P$2:$P$18,1))</x:f>
      </x:c>
      <x:c r="O16" s="308" t="str">
        <x:f>IF(N16="","",N16*LN(N16))</x:f>
      </x:c>
      <x:c r="P16" s="320" t="n">
        <x:f>IF(AND(A16='00_README'!$B$13,D16&lt;&gt;"",H16&lt;&gt;"",L16&lt;&gt;"",'06_INDICATORS_RAW'!W16="READY"),1,0)</x:f>
        <x:v>0</x:v>
      </x:c>
      <x:c r="Q16" s="321" t="str">
        <x:f>IF(A16&lt;&gt;'00_README'!$B$13,"INACTIVE",IF(OR(AND(D16&lt;&gt;"",E16=""),AND(H16&lt;&gt;"",I16=""),AND(L16&lt;&gt;"",M16="")),"ERROR_RANGE",IF(P16=1,"READY","PENDING")))</x:f>
        <x:v>INACTIVE</x:v>
      </x:c>
    </x:row>
    <x:row r="17">
      <x:c r="A17" s="226" t="str">
        <x:v>Tier B</x:v>
      </x:c>
      <x:c r="B17" s="227" t="str">
        <x:v>B5</x:v>
      </x:c>
      <x:c r="C17" s="227" t="str">
        <x:v>Penyediaan Akomodasi dan Makan Minum</x:v>
      </x:c>
      <x:c r="D17" s="308" t="n">
        <x:f>'06_INDICATORS_RAW'!D17</x:f>
        <x:v>93.03385506311311</x:v>
      </x:c>
      <x:c r="E17" s="308" t="n">
        <x:f>IF(D17="","",IF(OR(D17&lt;'00_README'!$B$16,D17&gt;'00_README'!$B$17),"",MAX('00_README'!$B$15,(D17-'00_README'!$B$16)/('00_README'!$B$17-'00_README'!$B$16))))</x:f>
        <x:v>0.9303385506311311</x:v>
      </x:c>
      <x:c r="F17" s="308" t="str">
        <x:f>IF(P17&lt;&gt;1,"",E17/SUMIFS($E$2:$E$18,$A$2:$A$18,'00_README'!$B$13,$P$2:$P$18,1))</x:f>
      </x:c>
      <x:c r="G17" s="308" t="str">
        <x:f>IF(F17="","",F17*LN(F17))</x:f>
      </x:c>
      <x:c r="H17" s="308" t="str">
        <x:f>'06_INDICATORS_RAW'!I17</x:f>
      </x:c>
      <x:c r="I17" s="308" t="str">
        <x:f>IF(H17="","",IF(OR(H17&lt;'00_README'!$B$18,H17&gt;'00_README'!$B$19),"",MAX('00_README'!$B$15,(H17-'00_README'!$B$18)/('00_README'!$B$19-'00_README'!$B$18))))</x:f>
      </x:c>
      <x:c r="J17" s="308" t="str">
        <x:f>IF(P17&lt;&gt;1,"",I17/SUMIFS($I$2:$I$18,$A$2:$A$18,'00_README'!$B$13,$P$2:$P$18,1))</x:f>
      </x:c>
      <x:c r="K17" s="308" t="str">
        <x:f>IF(J17="","",J17*LN(J17))</x:f>
      </x:c>
      <x:c r="L17" s="308" t="str">
        <x:f>'06_INDICATORS_RAW'!M17</x:f>
      </x:c>
      <x:c r="M17" s="308" t="str">
        <x:f>IF(L17="","",IF(OR(L17&lt;'00_README'!$B$20,L17&gt;'00_README'!$B$21),"",MAX('00_README'!$B$15,(L17-'00_README'!$B$20)/('00_README'!$B$21-'00_README'!$B$20))))</x:f>
      </x:c>
      <x:c r="N17" s="308" t="str">
        <x:f>IF(P17&lt;&gt;1,"",M17/SUMIFS($M$2:$M$18,$A$2:$A$18,'00_README'!$B$13,$P$2:$P$18,1))</x:f>
      </x:c>
      <x:c r="O17" s="308" t="str">
        <x:f>IF(N17="","",N17*LN(N17))</x:f>
      </x:c>
      <x:c r="P17" s="320" t="n">
        <x:f>IF(AND(A17='00_README'!$B$13,D17&lt;&gt;"",H17&lt;&gt;"",L17&lt;&gt;"",'06_INDICATORS_RAW'!W17="READY"),1,0)</x:f>
        <x:v>0</x:v>
      </x:c>
      <x:c r="Q17" s="321" t="str">
        <x:f>IF(A17&lt;&gt;'00_README'!$B$13,"INACTIVE",IF(OR(AND(D17&lt;&gt;"",E17=""),AND(H17&lt;&gt;"",I17=""),AND(L17&lt;&gt;"",M17="")),"ERROR_RANGE",IF(P17=1,"READY","PENDING")))</x:f>
        <x:v>INACTIVE</x:v>
      </x:c>
    </x:row>
    <x:row r="18">
      <x:c r="A18" s="229" t="str">
        <x:v>Tier B</x:v>
      </x:c>
      <x:c r="B18" s="230" t="str">
        <x:v>B6</x:v>
      </x:c>
      <x:c r="C18" s="230" t="str">
        <x:v>Aktivitas Jasa Lainnya</x:v>
      </x:c>
      <x:c r="D18" s="311" t="n">
        <x:f>'06_INDICATORS_RAW'!D18</x:f>
        <x:v>91.65244514023526</x:v>
      </x:c>
      <x:c r="E18" s="311" t="n">
        <x:f>IF(D18="","",IF(OR(D18&lt;'00_README'!$B$16,D18&gt;'00_README'!$B$17),"",MAX('00_README'!$B$15,(D18-'00_README'!$B$16)/('00_README'!$B$17-'00_README'!$B$16))))</x:f>
        <x:v>0.9165244514023526</x:v>
      </x:c>
      <x:c r="F18" s="311" t="str">
        <x:f>IF(P18&lt;&gt;1,"",E18/SUMIFS($E$2:$E$18,$A$2:$A$18,'00_README'!$B$13,$P$2:$P$18,1))</x:f>
      </x:c>
      <x:c r="G18" s="311" t="str">
        <x:f>IF(F18="","",F18*LN(F18))</x:f>
      </x:c>
      <x:c r="H18" s="311" t="n">
        <x:f>'06_INDICATORS_RAW'!I18</x:f>
        <x:v>0</x:v>
      </x:c>
      <x:c r="I18" s="311" t="str">
        <x:f>IF(H18="","",IF(OR(H18&lt;'00_README'!$B$18,H18&gt;'00_README'!$B$19),"",MAX('00_README'!$B$15,(H18-'00_README'!$B$18)/('00_README'!$B$19-'00_README'!$B$18))))</x:f>
      </x:c>
      <x:c r="J18" s="311" t="str">
        <x:f>IF(P18&lt;&gt;1,"",I18/SUMIFS($I$2:$I$18,$A$2:$A$18,'00_README'!$B$13,$P$2:$P$18,1))</x:f>
      </x:c>
      <x:c r="K18" s="311" t="str">
        <x:f>IF(J18="","",J18*LN(J18))</x:f>
      </x:c>
      <x:c r="L18" s="311" t="n">
        <x:f>'06_INDICATORS_RAW'!M18</x:f>
        <x:v>0</x:v>
      </x:c>
      <x:c r="M18" s="311" t="str">
        <x:f>IF(L18="","",IF(OR(L18&lt;'00_README'!$B$20,L18&gt;'00_README'!$B$21),"",MAX('00_README'!$B$15,(L18-'00_README'!$B$20)/('00_README'!$B$21-'00_README'!$B$20))))</x:f>
      </x:c>
      <x:c r="N18" s="311" t="str">
        <x:f>IF(P18&lt;&gt;1,"",M18/SUMIFS($M$2:$M$18,$A$2:$A$18,'00_README'!$B$13,$P$2:$P$18,1))</x:f>
      </x:c>
      <x:c r="O18" s="311" t="str">
        <x:f>IF(N18="","",N18*LN(N18))</x:f>
      </x:c>
      <x:c r="P18" s="322" t="n">
        <x:f>IF(AND(A18='00_README'!$B$13,D18&lt;&gt;"",H18&lt;&gt;"",L18&lt;&gt;"",'06_INDICATORS_RAW'!W18="READY"),1,0)</x:f>
        <x:v>0</x:v>
      </x:c>
      <x:c r="Q18" s="323" t="str">
        <x:f>IF(A18&lt;&gt;'00_README'!$B$13,"INACTIVE",IF(OR(AND(D18&lt;&gt;"",E18=""),AND(H18&lt;&gt;"",I18=""),AND(L18&lt;&gt;"",M18="")),"ERROR_RANGE",IF(P18=1,"READY","PENDING")))</x:f>
        <x:v>INACTIVE</x:v>
      </x:c>
    </x:row>
  </x:sheetData>
  <x:conditionalFormatting sqref="Q2:Q18">
    <x:cfRule type="containsText" dxfId="55" priority="1" operator="containsText" text="BLOCKED"/>
    <x:cfRule type="containsText" dxfId="56" priority="2" operator="containsText" text="ERROR"/>
    <x:cfRule type="containsText" dxfId="57" priority="3" operator="containsText" text="READY"/>
    <x:cfRule type="containsText" dxfId="58" priority="4" operator="containsText" text="VERIFIED"/>
    <x:cfRule type="containsText" dxfId="59" priority="5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146734711ca047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8" hidden="0" customWidth="1"/>
    <x:col min="3" max="3" width="15" hidden="0" customWidth="1"/>
    <x:col min="4" max="4" width="18" hidden="0" customWidth="1"/>
    <x:col min="5" max="5" width="15" hidden="0" customWidth="1"/>
    <x:col min="6" max="6" width="18" hidden="0" customWidth="1"/>
    <x:col min="7" max="7" width="18" hidden="0" customWidth="1"/>
    <x:col min="8" max="8" width="16" hidden="0" customWidth="1"/>
    <x:col min="9" max="9" width="20" hidden="0" customWidth="1"/>
    <x:col min="10" max="10" width="30" hidden="0" customWidth="1"/>
  </x:cols>
  <x:sheetData>
    <x:row r="1" ht="34" customHeight="1">
      <x:c r="A1" s="220" t="str">
        <x:v>indicator_code</x:v>
      </x:c>
      <x:c r="B1" s="221" t="str">
        <x:v>indicator_name</x:v>
      </x:c>
      <x:c r="C1" s="221" t="str">
        <x:v>N_complete</x:v>
      </x:c>
      <x:c r="D1" s="221" t="str">
        <x:v>sum_normalized</x:v>
      </x:c>
      <x:c r="E1" s="221" t="str">
        <x:v>entropy</x:v>
      </x:c>
      <x:c r="F1" s="221" t="str">
        <x:v>diversification</x:v>
      </x:c>
      <x:c r="G1" s="221" t="str">
        <x:v>entropy_weight</x:v>
      </x:c>
      <x:c r="H1" s="221" t="str">
        <x:v>equal_weight</x:v>
      </x:c>
      <x:c r="I1" s="221" t="str">
        <x:v>weight_sum_check</x:v>
      </x:c>
      <x:c r="J1" s="222" t="str">
        <x:v>status</x:v>
      </x:c>
    </x:row>
    <x:row r="2">
      <x:c r="A2" s="223" t="str">
        <x:v>X1</x:v>
      </x:c>
      <x:c r="B2" s="224" t="str">
        <x:v>% pekerja pendidikan ≤SMA</x:v>
      </x:c>
      <x:c r="C2" s="284" t="n">
        <x:f>COUNTIFS('07_NORMALIZED'!$A$2:$A$18,'00_README'!$B$13,'07_NORMALIZED'!$P$2:$P$18,1)</x:f>
        <x:v>0</x:v>
      </x:c>
      <x:c r="D2" s="305" t="n">
        <x:f>SUMIFS('07_NORMALIZED'!$E$2:$E$18,'07_NORMALIZED'!$A$2:$A$18,'00_README'!$B$13,'07_NORMALIZED'!$P$2:$P$18,1)</x:f>
        <x:v>0</x:v>
      </x:c>
      <x:c r="E2" s="305" t="str">
        <x:f>IF(C2&lt;2,"",-SUMIFS('07_NORMALIZED'!$G$2:$G$18,'07_NORMALIZED'!$A$2:$A$18,'00_README'!$B$13,'07_NORMALIZED'!$P$2:$P$18,1)/LN(C2))</x:f>
      </x:c>
      <x:c r="F2" s="305" t="str">
        <x:f>IF(E2="","",1-E2)</x:f>
      </x:c>
      <x:c r="G2" s="305" t="str">
        <x:f>IFERROR(F2/SUM($F$2:$F$4),"")</x:f>
      </x:c>
      <x:c r="H2" s="305" t="str">
        <x:f>IF(C2&lt;2,"",1/3)</x:f>
      </x:c>
      <x:c r="I2" s="305" t="n">
        <x:f>IFERROR(SUM($G$2:$G$4),"")</x:f>
        <x:v>0</x:v>
      </x:c>
      <x:c r="J2" s="319" t="str">
        <x:f>IF(C2&lt;2,"BLOCKED_DATA",IF(SUM($F$2:$F$4)=0,"BLOCKED_ZERO_DIVERSIFICATION",IF(ABS(I2-1)&gt;0.000001,"ERROR_WEIGHT_SUM","READY")))</x:f>
        <x:v>BLOCKED_DATA</x:v>
      </x:c>
    </x:row>
    <x:row r="3">
      <x:c r="A3" s="226" t="str">
        <x:v>X2</x:v>
      </x:c>
      <x:c r="B3" s="227" t="str">
        <x:v>% pekerja okupasi risiko tinggi</x:v>
      </x:c>
      <x:c r="C3" s="233" t="n">
        <x:f>COUNTIFS('07_NORMALIZED'!$A$2:$A$18,'00_README'!$B$13,'07_NORMALIZED'!$P$2:$P$18,1)</x:f>
        <x:v>0</x:v>
      </x:c>
      <x:c r="D3" s="308" t="n">
        <x:f>SUMIFS('07_NORMALIZED'!$I$2:$I$18,'07_NORMALIZED'!$A$2:$A$18,'00_README'!$B$13,'07_NORMALIZED'!$P$2:$P$18,1)</x:f>
        <x:v>0</x:v>
      </x:c>
      <x:c r="E3" s="308" t="str">
        <x:f>IF(C3&lt;2,"",-SUMIFS('07_NORMALIZED'!$K$2:$K$18,'07_NORMALIZED'!$A$2:$A$18,'00_README'!$B$13,'07_NORMALIZED'!$P$2:$P$18,1)/LN(C3))</x:f>
      </x:c>
      <x:c r="F3" s="308" t="str">
        <x:f>IF(E3="","",1-E3)</x:f>
      </x:c>
      <x:c r="G3" s="308" t="str">
        <x:f>IFERROR(F3/SUM($F$2:$F$4),"")</x:f>
      </x:c>
      <x:c r="H3" s="308" t="str">
        <x:f>IF(C3&lt;2,"",1/3)</x:f>
      </x:c>
      <x:c r="I3" s="308" t="n">
        <x:f>IFERROR(SUM($G$2:$G$4),"")</x:f>
        <x:v>0</x:v>
      </x:c>
      <x:c r="J3" s="321" t="str">
        <x:f>IF(C3&lt;2,"BLOCKED_DATA",IF(SUM($F$2:$F$4)=0,"BLOCKED_ZERO_DIVERSIFICATION",IF(ABS(I3-1)&gt;0.000001,"ERROR_WEIGHT_SUM","READY")))</x:f>
        <x:v>BLOCKED_DATA</x:v>
      </x:c>
    </x:row>
    <x:row r="4">
      <x:c r="A4" s="229" t="str">
        <x:v>X3</x:v>
      </x:c>
      <x:c r="B4" s="230" t="str">
        <x:v>Paparan GenAI tertimbang 0–5</x:v>
      </x:c>
      <x:c r="C4" s="286" t="n">
        <x:f>COUNTIFS('07_NORMALIZED'!$A$2:$A$18,'00_README'!$B$13,'07_NORMALIZED'!$P$2:$P$18,1)</x:f>
        <x:v>0</x:v>
      </x:c>
      <x:c r="D4" s="311" t="n">
        <x:f>SUMIFS('07_NORMALIZED'!$M$2:$M$18,'07_NORMALIZED'!$A$2:$A$18,'00_README'!$B$13,'07_NORMALIZED'!$P$2:$P$18,1)</x:f>
        <x:v>0</x:v>
      </x:c>
      <x:c r="E4" s="311" t="str">
        <x:f>IF(C4&lt;2,"",-SUMIFS('07_NORMALIZED'!$O$2:$O$18,'07_NORMALIZED'!$A$2:$A$18,'00_README'!$B$13,'07_NORMALIZED'!$P$2:$P$18,1)/LN(C4))</x:f>
      </x:c>
      <x:c r="F4" s="311" t="str">
        <x:f>IF(E4="","",1-E4)</x:f>
      </x:c>
      <x:c r="G4" s="311" t="str">
        <x:f>IFERROR(F4/SUM($F$2:$F$4),"")</x:f>
      </x:c>
      <x:c r="H4" s="311" t="str">
        <x:f>IF(C4&lt;2,"",1/3)</x:f>
      </x:c>
      <x:c r="I4" s="311" t="n">
        <x:f>IFERROR(SUM($G$2:$G$4),"")</x:f>
        <x:v>0</x:v>
      </x:c>
      <x:c r="J4" s="323" t="str">
        <x:f>IF(C4&lt;2,"BLOCKED_DATA",IF(SUM($F$2:$F$4)=0,"BLOCKED_ZERO_DIVERSIFICATION",IF(ABS(I4-1)&gt;0.000001,"ERROR_WEIGHT_SUM","READY")))</x:f>
        <x:v>BLOCKED_DATA</x:v>
      </x:c>
    </x:row>
    <x:row r="5">
      <x:c r="A5" s="257"/>
      <x:c r="B5" s="257"/>
      <x:c r="C5" s="257"/>
      <x:c r="D5" s="257"/>
      <x:c r="E5" s="257"/>
      <x:c r="F5" s="257"/>
      <x:c r="G5" s="257"/>
      <x:c r="H5" s="257"/>
      <x:c r="I5" s="257"/>
      <x:c r="J5" s="257"/>
    </x:row>
    <x:row r="6">
      <x:c r="A6" s="333" t="str">
        <x:v>Formula entropy yang digunakan: e_j = -Σ(p_ij × LN(p_ij)) / LN(N). Ini menyelesaikan ambiguitas notasi k pada spesifikasi dan harus dicatat sebagai keputusan implementasi D003.</x:v>
      </x:c>
      <x:c r="B6" s="334"/>
      <x:c r="C6" s="334"/>
      <x:c r="D6" s="334"/>
      <x:c r="E6" s="334"/>
      <x:c r="F6" s="334"/>
      <x:c r="G6" s="334"/>
      <x:c r="H6" s="334"/>
      <x:c r="I6" s="334"/>
      <x:c r="J6" s="335"/>
    </x:row>
    <x:row r="7">
      <x:c r="A7" s="336"/>
      <x:c r="B7" s="337"/>
      <x:c r="C7" s="337"/>
      <x:c r="D7" s="337"/>
      <x:c r="E7" s="337"/>
      <x:c r="F7" s="337"/>
      <x:c r="G7" s="337"/>
      <x:c r="H7" s="337"/>
      <x:c r="I7" s="337"/>
      <x:c r="J7" s="338"/>
    </x:row>
    <x:row r="8">
      <x:c r="A8" s="339"/>
      <x:c r="B8" s="340"/>
      <x:c r="C8" s="340"/>
      <x:c r="D8" s="340"/>
      <x:c r="E8" s="340"/>
      <x:c r="F8" s="340"/>
      <x:c r="G8" s="340"/>
      <x:c r="H8" s="340"/>
      <x:c r="I8" s="340"/>
      <x:c r="J8" s="341"/>
    </x:row>
  </x:sheetData>
  <x:mergeCells>
    <x:mergeCell ref="A6:J8"/>
  </x:mergeCells>
  <x:conditionalFormatting sqref="J2:J4">
    <x:cfRule type="containsText" dxfId="60" priority="1" operator="containsText" text="BLOCKED"/>
    <x:cfRule type="containsText" dxfId="61" priority="2" operator="containsText" text="ERROR"/>
    <x:cfRule type="containsText" dxfId="62" priority="3" operator="containsText" text="READY"/>
    <x:cfRule type="containsText" dxfId="63" priority="4" operator="containsText" text="VERIFIED"/>
    <x:cfRule type="containsText" dxfId="64" priority="5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b80caa1bfcf5481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17" hidden="0" customWidth="1"/>
    <x:col min="5" max="5" width="13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9" hidden="0" customWidth="1"/>
    <x:col min="12" max="12" width="19" hidden="0" customWidth="1"/>
    <x:col min="13" max="13" width="15" hidden="0" customWidth="1"/>
    <x:col min="14" max="14" width="20" hidden="0" customWidth="1"/>
    <x:col min="15" max="15" width="18" hidden="0" customWidth="1"/>
    <x:col min="16" max="16" width="15" hidden="0" customWidth="1"/>
    <x:col min="17" max="17" width="15" hidden="0" customWidth="1"/>
    <x:col min="18" max="18" width="18" hidden="0" customWidth="1"/>
    <x:col min="19" max="19" width="22" hidden="0" customWidth="1"/>
    <x:col min="20" max="20" width="32" hidden="0" customWidth="1"/>
    <x:col min="21" max="21" width="20" hidden="0" customWidth="1"/>
    <x:col min="22" max="22" width="45" hidden="0" customWidth="1"/>
  </x:cols>
  <x:sheetData>
    <x:row r="1" ht="34" customHeight="1">
      <x:c r="A1" s="220" t="str">
        <x:v>tier</x:v>
      </x:c>
      <x:c r="B1" s="221" t="str">
        <x:v>sector_id</x:v>
      </x:c>
      <x:c r="C1" s="221" t="str">
        <x:v>sector_name</x:v>
      </x:c>
      <x:c r="D1" s="221" t="str">
        <x:v>complete_case</x:v>
      </x:c>
      <x:c r="E1" s="221" t="str">
        <x:v>I1</x:v>
      </x:c>
      <x:c r="F1" s="221" t="str">
        <x:v>I2</x:v>
      </x:c>
      <x:c r="G1" s="221" t="str">
        <x:v>I3</x:v>
      </x:c>
      <x:c r="H1" s="221" t="str">
        <x:v>w1_entropy</x:v>
      </x:c>
      <x:c r="I1" s="221" t="str">
        <x:v>w2_entropy</x:v>
      </x:c>
      <x:c r="J1" s="221" t="str">
        <x:v>w3_entropy</x:v>
      </x:c>
      <x:c r="K1" s="221" t="str">
        <x:v>IKOS_entropy_0_1</x:v>
      </x:c>
      <x:c r="L1" s="221" t="str">
        <x:v>IKOS_entropy_100</x:v>
      </x:c>
      <x:c r="M1" s="221" t="str">
        <x:v>rank_entropy</x:v>
      </x:c>
      <x:c r="N1" s="221" t="str">
        <x:v>category_draft</x:v>
      </x:c>
      <x:c r="O1" s="221" t="str">
        <x:v>IKOS_equal_0_1</x:v>
      </x:c>
      <x:c r="P1" s="221" t="str">
        <x:v>rank_equal</x:v>
      </x:c>
      <x:c r="Q1" s="221" t="str">
        <x:v>rank_delta</x:v>
      </x:c>
      <x:c r="R1" s="221" t="str">
        <x:v>readiness_raw</x:v>
      </x:c>
      <x:c r="S1" s="221" t="str">
        <x:v>readiness_index_0_1</x:v>
      </x:c>
      <x:c r="T1" s="221" t="str">
        <x:v>quadrant_draft</x:v>
      </x:c>
      <x:c r="U1" s="221" t="str">
        <x:v>result_status</x:v>
      </x:c>
      <x:c r="V1" s="222" t="str">
        <x:v>notes</x:v>
      </x:c>
    </x:row>
    <x:row r="2">
      <x:c r="A2" s="223" t="str">
        <x:v>Tier A</x:v>
      </x:c>
      <x:c r="B2" s="224" t="str">
        <x:v>S1</x:v>
      </x:c>
      <x:c r="C2" s="224" t="str">
        <x:v>Industri Makanan dan Minuman</x:v>
      </x:c>
      <x:c r="D2" s="284" t="n">
        <x:f>'07_NORMALIZED'!P2</x:f>
        <x:v>0</x:v>
      </x:c>
      <x:c r="E2" s="305" t="str">
        <x:f>'07_NORMALIZED'!E2</x:f>
      </x:c>
      <x:c r="F2" s="305" t="str">
        <x:f>'07_NORMALIZED'!I2</x:f>
      </x:c>
      <x:c r="G2" s="305" t="str">
        <x:f>'07_NORMALIZED'!M2</x:f>
      </x:c>
      <x:c r="H2" s="305" t="str">
        <x:f>'08_WEIGHTS'!G2</x:f>
      </x:c>
      <x:c r="I2" s="305" t="str">
        <x:f>'08_WEIGHTS'!G3</x:f>
      </x:c>
      <x:c r="J2" s="305" t="n">
        <x:f>'08_WEIGHTS'!G4</x:f>
        <x:v>0</x:v>
      </x:c>
      <x:c r="K2" s="305" t="str">
        <x:f>IF(OR(D2&lt;&gt;1,H2="",I2="",J2=""),"",EXP(H2*LN(E2)+I2*LN(F2)+J2*LN(G2)))</x:f>
      </x:c>
      <x:c r="L2" s="291" t="str">
        <x:f>IF(K2="","",100*K2)</x:f>
      </x:c>
      <x:c r="M2" s="284" t="str">
        <x:f>IF(K2="","",RANK(K2,$K$2:$K$18,0))</x:f>
      </x:c>
      <x:c r="N2" s="284" t="str">
        <x:f>IF(M2="","",IF(M2&lt;='00_README'!$B$22,"TINGGI",IF(M2&lt;='00_README'!$B$22+'00_README'!$B$23,"SEDANG","RENDAH")))</x:f>
      </x:c>
      <x:c r="O2" s="305" t="str">
        <x:f>IF(D2&lt;&gt;1,"",EXP((LN(E2)+LN(F2)+LN(G2))/3))</x:f>
      </x:c>
      <x:c r="P2" s="284" t="str">
        <x:f>IF(O2="","",RANK(O2,$O$2:$O$18,0))</x:f>
      </x:c>
      <x:c r="Q2" s="284" t="str">
        <x:f>IF(OR(M2="",P2=""),"",P2-M2)</x:f>
      </x:c>
      <x:c r="R2" s="305" t="str">
        <x:f>IF(A2&lt;&gt;'00_README'!$B$13,"",'10_READINESS_OPTIONAL'!H2)</x:f>
      </x:c>
      <x:c r="S2" s="305" t="str">
        <x:f>IF(A2&lt;&gt;'00_README'!$B$13,"",'10_READINESS_OPTIONAL'!J2)</x:f>
      </x:c>
      <x:c r="T2" s="284" t="str">
        <x:f>IF(OR(K2="",S2=""),"",IF(K2&gt;=MEDIAN($K$2:$K$18),IF(S2&gt;=MEDIAN($S$2:$S$18),"Rentan–Siap","Rentan–Belum Siap"),IF(S2&gt;=MEDIAN($S$2:$S$18),"Kurang Rentan–Siap","Kurang Rentan–Belum Siap")))</x:f>
      </x:c>
      <x:c r="U2" s="284" t="str">
        <x:f>IF(A2&lt;&gt;'00_README'!$B$13,"INACTIVE",IF(D2=1,IF('08_WEIGHTS'!J2="READY","READY","BLOCKED_WEIGHT"),"PENDING"))</x:f>
        <x:v>INACTIVE</x:v>
      </x:c>
      <x:c r="V2" s="319" t="str">
        <x:f>IF(U2="READY","Kategori dan kuadran masih draft; validasi sebelum publikasi.","")</x:f>
      </x:c>
    </x:row>
    <x:row r="3">
      <x:c r="A3" s="226" t="str">
        <x:v>Tier A</x:v>
      </x:c>
      <x:c r="B3" s="227" t="str">
        <x:v>S2</x:v>
      </x:c>
      <x:c r="C3" s="227" t="str">
        <x:v>Industri Tekstil dan Pakaian</x:v>
      </x:c>
      <x:c r="D3" s="233" t="n">
        <x:f>'07_NORMALIZED'!P3</x:f>
        <x:v>0</x:v>
      </x:c>
      <x:c r="E3" s="308" t="str">
        <x:f>'07_NORMALIZED'!E3</x:f>
      </x:c>
      <x:c r="F3" s="308" t="str">
        <x:f>'07_NORMALIZED'!I3</x:f>
      </x:c>
      <x:c r="G3" s="308" t="str">
        <x:f>'07_NORMALIZED'!M3</x:f>
      </x:c>
      <x:c r="H3" s="308" t="str">
        <x:f>'08_WEIGHTS'!G2</x:f>
      </x:c>
      <x:c r="I3" s="308" t="str">
        <x:f>'08_WEIGHTS'!G3</x:f>
      </x:c>
      <x:c r="J3" s="308" t="n">
        <x:f>'08_WEIGHTS'!G4</x:f>
        <x:v>0</x:v>
      </x:c>
      <x:c r="K3" s="308" t="str">
        <x:f>IF(OR(D3&lt;&gt;1,H3="",I3="",J3=""),"",EXP(H3*LN(E3)+I3*LN(F3)+J3*LN(G3)))</x:f>
      </x:c>
      <x:c r="L3" s="296" t="str">
        <x:f>IF(K3="","",100*K3)</x:f>
      </x:c>
      <x:c r="M3" s="233" t="str">
        <x:f>IF(K3="","",RANK(K3,$K$2:$K$18,0))</x:f>
      </x:c>
      <x:c r="N3" s="233" t="str">
        <x:f>IF(M3="","",IF(M3&lt;='00_README'!$B$22,"TINGGI",IF(M3&lt;='00_README'!$B$22+'00_README'!$B$23,"SEDANG","RENDAH")))</x:f>
      </x:c>
      <x:c r="O3" s="308" t="str">
        <x:f>IF(D3&lt;&gt;1,"",EXP((LN(E3)+LN(F3)+LN(G3))/3))</x:f>
      </x:c>
      <x:c r="P3" s="233" t="str">
        <x:f>IF(O3="","",RANK(O3,$O$2:$O$18,0))</x:f>
      </x:c>
      <x:c r="Q3" s="233" t="str">
        <x:f>IF(OR(M3="",P3=""),"",P3-M3)</x:f>
      </x:c>
      <x:c r="R3" s="308" t="str">
        <x:f>IF(A3&lt;&gt;'00_README'!$B$13,"",'10_READINESS_OPTIONAL'!H3)</x:f>
      </x:c>
      <x:c r="S3" s="308" t="str">
        <x:f>IF(A3&lt;&gt;'00_README'!$B$13,"",'10_READINESS_OPTIONAL'!J3)</x:f>
      </x:c>
      <x:c r="T3" s="233" t="str">
        <x:f>IF(OR(K3="",S3=""),"",IF(K3&gt;=MEDIAN($K$2:$K$18),IF(S3&gt;=MEDIAN($S$2:$S$18),"Rentan–Siap","Rentan–Belum Siap"),IF(S3&gt;=MEDIAN($S$2:$S$18),"Kurang Rentan–Siap","Kurang Rentan–Belum Siap")))</x:f>
      </x:c>
      <x:c r="U3" s="233" t="str">
        <x:f>IF(A3&lt;&gt;'00_README'!$B$13,"INACTIVE",IF(D3=1,IF('08_WEIGHTS'!J2="READY","READY","BLOCKED_WEIGHT"),"PENDING"))</x:f>
        <x:v>INACTIVE</x:v>
      </x:c>
      <x:c r="V3" s="321" t="str">
        <x:f>IF(U3="READY","Kategori dan kuadran masih draft; validasi sebelum publikasi.","")</x:f>
      </x:c>
    </x:row>
    <x:row r="4">
      <x:c r="A4" s="226" t="str">
        <x:v>Tier A</x:v>
      </x:c>
      <x:c r="B4" s="227" t="str">
        <x:v>S3</x:v>
      </x:c>
      <x:c r="C4" s="227" t="str">
        <x:v>Industri Otomotif</x:v>
      </x:c>
      <x:c r="D4" s="233" t="n">
        <x:f>'07_NORMALIZED'!P4</x:f>
        <x:v>0</x:v>
      </x:c>
      <x:c r="E4" s="308" t="str">
        <x:f>'07_NORMALIZED'!E4</x:f>
      </x:c>
      <x:c r="F4" s="308" t="str">
        <x:f>'07_NORMALIZED'!I4</x:f>
      </x:c>
      <x:c r="G4" s="308" t="str">
        <x:f>'07_NORMALIZED'!M4</x:f>
      </x:c>
      <x:c r="H4" s="308" t="str">
        <x:f>'08_WEIGHTS'!G2</x:f>
      </x:c>
      <x:c r="I4" s="308" t="str">
        <x:f>'08_WEIGHTS'!G3</x:f>
      </x:c>
      <x:c r="J4" s="308" t="n">
        <x:f>'08_WEIGHTS'!G4</x:f>
        <x:v>0</x:v>
      </x:c>
      <x:c r="K4" s="308" t="str">
        <x:f>IF(OR(D4&lt;&gt;1,H4="",I4="",J4=""),"",EXP(H4*LN(E4)+I4*LN(F4)+J4*LN(G4)))</x:f>
      </x:c>
      <x:c r="L4" s="296" t="str">
        <x:f>IF(K4="","",100*K4)</x:f>
      </x:c>
      <x:c r="M4" s="233" t="str">
        <x:f>IF(K4="","",RANK(K4,$K$2:$K$18,0))</x:f>
      </x:c>
      <x:c r="N4" s="233" t="str">
        <x:f>IF(M4="","",IF(M4&lt;='00_README'!$B$22,"TINGGI",IF(M4&lt;='00_README'!$B$22+'00_README'!$B$23,"SEDANG","RENDAH")))</x:f>
      </x:c>
      <x:c r="O4" s="308" t="str">
        <x:f>IF(D4&lt;&gt;1,"",EXP((LN(E4)+LN(F4)+LN(G4))/3))</x:f>
      </x:c>
      <x:c r="P4" s="233" t="str">
        <x:f>IF(O4="","",RANK(O4,$O$2:$O$18,0))</x:f>
      </x:c>
      <x:c r="Q4" s="233" t="str">
        <x:f>IF(OR(M4="",P4=""),"",P4-M4)</x:f>
      </x:c>
      <x:c r="R4" s="308" t="str">
        <x:f>IF(A4&lt;&gt;'00_README'!$B$13,"",'10_READINESS_OPTIONAL'!H4)</x:f>
      </x:c>
      <x:c r="S4" s="308" t="str">
        <x:f>IF(A4&lt;&gt;'00_README'!$B$13,"",'10_READINESS_OPTIONAL'!J4)</x:f>
      </x:c>
      <x:c r="T4" s="233" t="str">
        <x:f>IF(OR(K4="",S4=""),"",IF(K4&gt;=MEDIAN($K$2:$K$18),IF(S4&gt;=MEDIAN($S$2:$S$18),"Rentan–Siap","Rentan–Belum Siap"),IF(S4&gt;=MEDIAN($S$2:$S$18),"Kurang Rentan–Siap","Kurang Rentan–Belum Siap")))</x:f>
      </x:c>
      <x:c r="U4" s="233" t="str">
        <x:f>IF(A4&lt;&gt;'00_README'!$B$13,"INACTIVE",IF(D4=1,IF('08_WEIGHTS'!J2="READY","READY","BLOCKED_WEIGHT"),"PENDING"))</x:f>
        <x:v>INACTIVE</x:v>
      </x:c>
      <x:c r="V4" s="321" t="str">
        <x:f>IF(U4="READY","Kategori dan kuadran masih draft; validasi sebelum publikasi.","")</x:f>
      </x:c>
    </x:row>
    <x:row r="5">
      <x:c r="A5" s="226" t="str">
        <x:v>Tier A</x:v>
      </x:c>
      <x:c r="B5" s="227" t="str">
        <x:v>S4</x:v>
      </x:c>
      <x:c r="C5" s="227" t="str">
        <x:v>Industri Kimia dan Farmasi/Alat Kesehatan</x:v>
      </x:c>
      <x:c r="D5" s="233" t="n">
        <x:f>'07_NORMALIZED'!P5</x:f>
        <x:v>0</x:v>
      </x:c>
      <x:c r="E5" s="308" t="str">
        <x:f>'07_NORMALIZED'!E5</x:f>
      </x:c>
      <x:c r="F5" s="308" t="str">
        <x:f>'07_NORMALIZED'!I5</x:f>
      </x:c>
      <x:c r="G5" s="308" t="str">
        <x:f>'07_NORMALIZED'!M5</x:f>
      </x:c>
      <x:c r="H5" s="308" t="str">
        <x:f>'08_WEIGHTS'!G2</x:f>
      </x:c>
      <x:c r="I5" s="308" t="str">
        <x:f>'08_WEIGHTS'!G3</x:f>
      </x:c>
      <x:c r="J5" s="308" t="n">
        <x:f>'08_WEIGHTS'!G4</x:f>
        <x:v>0</x:v>
      </x:c>
      <x:c r="K5" s="308" t="str">
        <x:f>IF(OR(D5&lt;&gt;1,H5="",I5="",J5=""),"",EXP(H5*LN(E5)+I5*LN(F5)+J5*LN(G5)))</x:f>
      </x:c>
      <x:c r="L5" s="296" t="str">
        <x:f>IF(K5="","",100*K5)</x:f>
      </x:c>
      <x:c r="M5" s="233" t="str">
        <x:f>IF(K5="","",RANK(K5,$K$2:$K$18,0))</x:f>
      </x:c>
      <x:c r="N5" s="233" t="str">
        <x:f>IF(M5="","",IF(M5&lt;='00_README'!$B$22,"TINGGI",IF(M5&lt;='00_README'!$B$22+'00_README'!$B$23,"SEDANG","RENDAH")))</x:f>
      </x:c>
      <x:c r="O5" s="308" t="str">
        <x:f>IF(D5&lt;&gt;1,"",EXP((LN(E5)+LN(F5)+LN(G5))/3))</x:f>
      </x:c>
      <x:c r="P5" s="233" t="str">
        <x:f>IF(O5="","",RANK(O5,$O$2:$O$18,0))</x:f>
      </x:c>
      <x:c r="Q5" s="233" t="str">
        <x:f>IF(OR(M5="",P5=""),"",P5-M5)</x:f>
      </x:c>
      <x:c r="R5" s="308" t="str">
        <x:f>IF(A5&lt;&gt;'00_README'!$B$13,"",'10_READINESS_OPTIONAL'!H5)</x:f>
      </x:c>
      <x:c r="S5" s="308" t="str">
        <x:f>IF(A5&lt;&gt;'00_README'!$B$13,"",'10_READINESS_OPTIONAL'!J5)</x:f>
      </x:c>
      <x:c r="T5" s="233" t="str">
        <x:f>IF(OR(K5="",S5=""),"",IF(K5&gt;=MEDIAN($K$2:$K$18),IF(S5&gt;=MEDIAN($S$2:$S$18),"Rentan–Siap","Rentan–Belum Siap"),IF(S5&gt;=MEDIAN($S$2:$S$18),"Kurang Rentan–Siap","Kurang Rentan–Belum Siap")))</x:f>
      </x:c>
      <x:c r="U5" s="233" t="str">
        <x:f>IF(A5&lt;&gt;'00_README'!$B$13,"INACTIVE",IF(D5=1,IF('08_WEIGHTS'!J2="READY","READY","BLOCKED_WEIGHT"),"PENDING"))</x:f>
        <x:v>INACTIVE</x:v>
      </x:c>
      <x:c r="V5" s="321" t="str">
        <x:f>IF(U5="READY","Kategori dan kuadran masih draft; validasi sebelum publikasi.","")</x:f>
      </x:c>
    </x:row>
    <x:row r="6">
      <x:c r="A6" s="226" t="str">
        <x:v>Tier A</x:v>
      </x:c>
      <x:c r="B6" s="227" t="str">
        <x:v>S5</x:v>
      </x:c>
      <x:c r="C6" s="227" t="str">
        <x:v>Industri Elektronik</x:v>
      </x:c>
      <x:c r="D6" s="233" t="n">
        <x:f>'07_NORMALIZED'!P6</x:f>
        <x:v>0</x:v>
      </x:c>
      <x:c r="E6" s="308" t="str">
        <x:f>'07_NORMALIZED'!E6</x:f>
      </x:c>
      <x:c r="F6" s="308" t="str">
        <x:f>'07_NORMALIZED'!I6</x:f>
      </x:c>
      <x:c r="G6" s="308" t="str">
        <x:f>'07_NORMALIZED'!M6</x:f>
      </x:c>
      <x:c r="H6" s="308" t="str">
        <x:f>'08_WEIGHTS'!G2</x:f>
      </x:c>
      <x:c r="I6" s="308" t="str">
        <x:f>'08_WEIGHTS'!G3</x:f>
      </x:c>
      <x:c r="J6" s="308" t="n">
        <x:f>'08_WEIGHTS'!G4</x:f>
        <x:v>0</x:v>
      </x:c>
      <x:c r="K6" s="308" t="str">
        <x:f>IF(OR(D6&lt;&gt;1,H6="",I6="",J6=""),"",EXP(H6*LN(E6)+I6*LN(F6)+J6*LN(G6)))</x:f>
      </x:c>
      <x:c r="L6" s="296" t="str">
        <x:f>IF(K6="","",100*K6)</x:f>
      </x:c>
      <x:c r="M6" s="233" t="str">
        <x:f>IF(K6="","",RANK(K6,$K$2:$K$18,0))</x:f>
      </x:c>
      <x:c r="N6" s="233" t="str">
        <x:f>IF(M6="","",IF(M6&lt;='00_README'!$B$22,"TINGGI",IF(M6&lt;='00_README'!$B$22+'00_README'!$B$23,"SEDANG","RENDAH")))</x:f>
      </x:c>
      <x:c r="O6" s="308" t="str">
        <x:f>IF(D6&lt;&gt;1,"",EXP((LN(E6)+LN(F6)+LN(G6))/3))</x:f>
      </x:c>
      <x:c r="P6" s="233" t="str">
        <x:f>IF(O6="","",RANK(O6,$O$2:$O$18,0))</x:f>
      </x:c>
      <x:c r="Q6" s="233" t="str">
        <x:f>IF(OR(M6="",P6=""),"",P6-M6)</x:f>
      </x:c>
      <x:c r="R6" s="308" t="str">
        <x:f>IF(A6&lt;&gt;'00_README'!$B$13,"",'10_READINESS_OPTIONAL'!H6)</x:f>
      </x:c>
      <x:c r="S6" s="308" t="str">
        <x:f>IF(A6&lt;&gt;'00_README'!$B$13,"",'10_READINESS_OPTIONAL'!J6)</x:f>
      </x:c>
      <x:c r="T6" s="233" t="str">
        <x:f>IF(OR(K6="",S6=""),"",IF(K6&gt;=MEDIAN($K$2:$K$18),IF(S6&gt;=MEDIAN($S$2:$S$18),"Rentan–Siap","Rentan–Belum Siap"),IF(S6&gt;=MEDIAN($S$2:$S$18),"Kurang Rentan–Siap","Kurang Rentan–Belum Siap")))</x:f>
      </x:c>
      <x:c r="U6" s="233" t="str">
        <x:f>IF(A6&lt;&gt;'00_README'!$B$13,"INACTIVE",IF(D6=1,IF('08_WEIGHTS'!J2="READY","READY","BLOCKED_WEIGHT"),"PENDING"))</x:f>
        <x:v>INACTIVE</x:v>
      </x:c>
      <x:c r="V6" s="321" t="str">
        <x:f>IF(U6="READY","Kategori dan kuadran masih draft; validasi sebelum publikasi.","")</x:f>
      </x:c>
    </x:row>
    <x:row r="7">
      <x:c r="A7" s="226" t="str">
        <x:v>Tier A</x:v>
      </x:c>
      <x:c r="B7" s="227" t="str">
        <x:v>S6</x:v>
      </x:c>
      <x:c r="C7" s="227" t="str">
        <x:v>Industri Pengolahan Lainnya</x:v>
      </x:c>
      <x:c r="D7" s="233" t="n">
        <x:f>'07_NORMALIZED'!P7</x:f>
        <x:v>0</x:v>
      </x:c>
      <x:c r="E7" s="308" t="str">
        <x:f>'07_NORMALIZED'!E7</x:f>
      </x:c>
      <x:c r="F7" s="308" t="str">
        <x:f>'07_NORMALIZED'!I7</x:f>
      </x:c>
      <x:c r="G7" s="308" t="str">
        <x:f>'07_NORMALIZED'!M7</x:f>
      </x:c>
      <x:c r="H7" s="308" t="str">
        <x:f>'08_WEIGHTS'!G2</x:f>
      </x:c>
      <x:c r="I7" s="308" t="str">
        <x:f>'08_WEIGHTS'!G3</x:f>
      </x:c>
      <x:c r="J7" s="308" t="n">
        <x:f>'08_WEIGHTS'!G4</x:f>
        <x:v>0</x:v>
      </x:c>
      <x:c r="K7" s="308" t="str">
        <x:f>IF(OR(D7&lt;&gt;1,H7="",I7="",J7=""),"",EXP(H7*LN(E7)+I7*LN(F7)+J7*LN(G7)))</x:f>
      </x:c>
      <x:c r="L7" s="296" t="str">
        <x:f>IF(K7="","",100*K7)</x:f>
      </x:c>
      <x:c r="M7" s="233" t="str">
        <x:f>IF(K7="","",RANK(K7,$K$2:$K$18,0))</x:f>
      </x:c>
      <x:c r="N7" s="233" t="str">
        <x:f>IF(M7="","",IF(M7&lt;='00_README'!$B$22,"TINGGI",IF(M7&lt;='00_README'!$B$22+'00_README'!$B$23,"SEDANG","RENDAH")))</x:f>
      </x:c>
      <x:c r="O7" s="308" t="str">
        <x:f>IF(D7&lt;&gt;1,"",EXP((LN(E7)+LN(F7)+LN(G7))/3))</x:f>
      </x:c>
      <x:c r="P7" s="233" t="str">
        <x:f>IF(O7="","",RANK(O7,$O$2:$O$18,0))</x:f>
      </x:c>
      <x:c r="Q7" s="233" t="str">
        <x:f>IF(OR(M7="",P7=""),"",P7-M7)</x:f>
      </x:c>
      <x:c r="R7" s="308" t="str">
        <x:f>IF(A7&lt;&gt;'00_README'!$B$13,"",'10_READINESS_OPTIONAL'!H7)</x:f>
      </x:c>
      <x:c r="S7" s="308" t="str">
        <x:f>IF(A7&lt;&gt;'00_README'!$B$13,"",'10_READINESS_OPTIONAL'!J7)</x:f>
      </x:c>
      <x:c r="T7" s="233" t="str">
        <x:f>IF(OR(K7="",S7=""),"",IF(K7&gt;=MEDIAN($K$2:$K$18),IF(S7&gt;=MEDIAN($S$2:$S$18),"Rentan–Siap","Rentan–Belum Siap"),IF(S7&gt;=MEDIAN($S$2:$S$18),"Kurang Rentan–Siap","Kurang Rentan–Belum Siap")))</x:f>
      </x:c>
      <x:c r="U7" s="233" t="str">
        <x:f>IF(A7&lt;&gt;'00_README'!$B$13,"INACTIVE",IF(D7=1,IF('08_WEIGHTS'!J2="READY","READY","BLOCKED_WEIGHT"),"PENDING"))</x:f>
        <x:v>INACTIVE</x:v>
      </x:c>
      <x:c r="V7" s="321" t="str">
        <x:f>IF(U7="READY","Kategori dan kuadran masih draft; validasi sebelum publikasi.","")</x:f>
      </x:c>
    </x:row>
    <x:row r="8">
      <x:c r="A8" s="226" t="str">
        <x:v>Tier A</x:v>
      </x:c>
      <x:c r="B8" s="227" t="str">
        <x:v>S7</x:v>
      </x:c>
      <x:c r="C8" s="227" t="str">
        <x:v>Pertanian, Kehutanan, dan Perikanan</x:v>
      </x:c>
      <x:c r="D8" s="233" t="n">
        <x:f>'07_NORMALIZED'!P8</x:f>
        <x:v>0</x:v>
      </x:c>
      <x:c r="E8" s="308" t="n">
        <x:f>'07_NORMALIZED'!E8</x:f>
        <x:v>0.9785001943287334</x:v>
      </x:c>
      <x:c r="F8" s="308" t="str">
        <x:f>'07_NORMALIZED'!I8</x:f>
      </x:c>
      <x:c r="G8" s="308" t="str">
        <x:f>'07_NORMALIZED'!M8</x:f>
      </x:c>
      <x:c r="H8" s="308" t="str">
        <x:f>'08_WEIGHTS'!G2</x:f>
      </x:c>
      <x:c r="I8" s="308" t="str">
        <x:f>'08_WEIGHTS'!G3</x:f>
      </x:c>
      <x:c r="J8" s="308" t="n">
        <x:f>'08_WEIGHTS'!G4</x:f>
        <x:v>0</x:v>
      </x:c>
      <x:c r="K8" s="308" t="str">
        <x:f>IF(OR(D8&lt;&gt;1,H8="",I8="",J8=""),"",EXP(H8*LN(E8)+I8*LN(F8)+J8*LN(G8)))</x:f>
      </x:c>
      <x:c r="L8" s="296" t="str">
        <x:f>IF(K8="","",100*K8)</x:f>
      </x:c>
      <x:c r="M8" s="233" t="str">
        <x:f>IF(K8="","",RANK(K8,$K$2:$K$18,0))</x:f>
      </x:c>
      <x:c r="N8" s="233" t="str">
        <x:f>IF(M8="","",IF(M8&lt;='00_README'!$B$22,"TINGGI",IF(M8&lt;='00_README'!$B$22+'00_README'!$B$23,"SEDANG","RENDAH")))</x:f>
      </x:c>
      <x:c r="O8" s="308" t="str">
        <x:f>IF(D8&lt;&gt;1,"",EXP((LN(E8)+LN(F8)+LN(G8))/3))</x:f>
      </x:c>
      <x:c r="P8" s="233" t="str">
        <x:f>IF(O8="","",RANK(O8,$O$2:$O$18,0))</x:f>
      </x:c>
      <x:c r="Q8" s="233" t="str">
        <x:f>IF(OR(M8="",P8=""),"",P8-M8)</x:f>
      </x:c>
      <x:c r="R8" s="308" t="str">
        <x:f>IF(A8&lt;&gt;'00_README'!$B$13,"",'10_READINESS_OPTIONAL'!H8)</x:f>
      </x:c>
      <x:c r="S8" s="308" t="str">
        <x:f>IF(A8&lt;&gt;'00_README'!$B$13,"",'10_READINESS_OPTIONAL'!J8)</x:f>
      </x:c>
      <x:c r="T8" s="233" t="str">
        <x:f>IF(OR(K8="",S8=""),"",IF(K8&gt;=MEDIAN($K$2:$K$18),IF(S8&gt;=MEDIAN($S$2:$S$18),"Rentan–Siap","Rentan–Belum Siap"),IF(S8&gt;=MEDIAN($S$2:$S$18),"Kurang Rentan–Siap","Kurang Rentan–Belum Siap")))</x:f>
      </x:c>
      <x:c r="U8" s="233" t="str">
        <x:f>IF(A8&lt;&gt;'00_README'!$B$13,"INACTIVE",IF(D8=1,IF('08_WEIGHTS'!J2="READY","READY","BLOCKED_WEIGHT"),"PENDING"))</x:f>
        <x:v>INACTIVE</x:v>
      </x:c>
      <x:c r="V8" s="321" t="str">
        <x:f>IF(U8="READY","Kategori dan kuadran masih draft; validasi sebelum publikasi.","")</x:f>
      </x:c>
    </x:row>
    <x:row r="9">
      <x:c r="A9" s="226" t="str">
        <x:v>Tier A</x:v>
      </x:c>
      <x:c r="B9" s="227" t="str">
        <x:v>S8</x:v>
      </x:c>
      <x:c r="C9" s="227" t="str">
        <x:v>Perdagangan Besar dan Eceran</x:v>
      </x:c>
      <x:c r="D9" s="233" t="n">
        <x:f>'07_NORMALIZED'!P9</x:f>
        <x:v>0</x:v>
      </x:c>
      <x:c r="E9" s="308" t="n">
        <x:f>'07_NORMALIZED'!E9</x:f>
        <x:v>0.9078497277815515</x:v>
      </x:c>
      <x:c r="F9" s="308" t="str">
        <x:f>'07_NORMALIZED'!I9</x:f>
      </x:c>
      <x:c r="G9" s="308" t="str">
        <x:f>'07_NORMALIZED'!M9</x:f>
      </x:c>
      <x:c r="H9" s="308" t="str">
        <x:f>'08_WEIGHTS'!G2</x:f>
      </x:c>
      <x:c r="I9" s="308" t="str">
        <x:f>'08_WEIGHTS'!G3</x:f>
      </x:c>
      <x:c r="J9" s="308" t="n">
        <x:f>'08_WEIGHTS'!G4</x:f>
        <x:v>0</x:v>
      </x:c>
      <x:c r="K9" s="308" t="str">
        <x:f>IF(OR(D9&lt;&gt;1,H9="",I9="",J9=""),"",EXP(H9*LN(E9)+I9*LN(F9)+J9*LN(G9)))</x:f>
      </x:c>
      <x:c r="L9" s="296" t="str">
        <x:f>IF(K9="","",100*K9)</x:f>
      </x:c>
      <x:c r="M9" s="233" t="str">
        <x:f>IF(K9="","",RANK(K9,$K$2:$K$18,0))</x:f>
      </x:c>
      <x:c r="N9" s="233" t="str">
        <x:f>IF(M9="","",IF(M9&lt;='00_README'!$B$22,"TINGGI",IF(M9&lt;='00_README'!$B$22+'00_README'!$B$23,"SEDANG","RENDAH")))</x:f>
      </x:c>
      <x:c r="O9" s="308" t="str">
        <x:f>IF(D9&lt;&gt;1,"",EXP((LN(E9)+LN(F9)+LN(G9))/3))</x:f>
      </x:c>
      <x:c r="P9" s="233" t="str">
        <x:f>IF(O9="","",RANK(O9,$O$2:$O$18,0))</x:f>
      </x:c>
      <x:c r="Q9" s="233" t="str">
        <x:f>IF(OR(M9="",P9=""),"",P9-M9)</x:f>
      </x:c>
      <x:c r="R9" s="308" t="str">
        <x:f>IF(A9&lt;&gt;'00_README'!$B$13,"",'10_READINESS_OPTIONAL'!H9)</x:f>
      </x:c>
      <x:c r="S9" s="308" t="str">
        <x:f>IF(A9&lt;&gt;'00_README'!$B$13,"",'10_READINESS_OPTIONAL'!J9)</x:f>
      </x:c>
      <x:c r="T9" s="233" t="str">
        <x:f>IF(OR(K9="",S9=""),"",IF(K9&gt;=MEDIAN($K$2:$K$18),IF(S9&gt;=MEDIAN($S$2:$S$18),"Rentan–Siap","Rentan–Belum Siap"),IF(S9&gt;=MEDIAN($S$2:$S$18),"Kurang Rentan–Siap","Kurang Rentan–Belum Siap")))</x:f>
      </x:c>
      <x:c r="U9" s="233" t="str">
        <x:f>IF(A9&lt;&gt;'00_README'!$B$13,"INACTIVE",IF(D9=1,IF('08_WEIGHTS'!J2="READY","READY","BLOCKED_WEIGHT"),"PENDING"))</x:f>
        <x:v>INACTIVE</x:v>
      </x:c>
      <x:c r="V9" s="321" t="str">
        <x:f>IF(U9="READY","Kategori dan kuadran masih draft; validasi sebelum publikasi.","")</x:f>
      </x:c>
    </x:row>
    <x:row r="10">
      <x:c r="A10" s="226" t="str">
        <x:v>Tier A</x:v>
      </x:c>
      <x:c r="B10" s="227" t="str">
        <x:v>S9</x:v>
      </x:c>
      <x:c r="C10" s="227" t="str">
        <x:v>Transportasi dan Pergudangan</x:v>
      </x:c>
      <x:c r="D10" s="233" t="n">
        <x:f>'07_NORMALIZED'!P10</x:f>
        <x:v>0</x:v>
      </x:c>
      <x:c r="E10" s="308" t="n">
        <x:f>'07_NORMALIZED'!E10</x:f>
        <x:v>0.9084027543008044</x:v>
      </x:c>
      <x:c r="F10" s="308" t="str">
        <x:f>'07_NORMALIZED'!I10</x:f>
      </x:c>
      <x:c r="G10" s="308" t="str">
        <x:f>'07_NORMALIZED'!M10</x:f>
      </x:c>
      <x:c r="H10" s="308" t="str">
        <x:f>'08_WEIGHTS'!G2</x:f>
      </x:c>
      <x:c r="I10" s="308" t="str">
        <x:f>'08_WEIGHTS'!G3</x:f>
      </x:c>
      <x:c r="J10" s="308" t="n">
        <x:f>'08_WEIGHTS'!G4</x:f>
        <x:v>0</x:v>
      </x:c>
      <x:c r="K10" s="308" t="str">
        <x:f>IF(OR(D10&lt;&gt;1,H10="",I10="",J10=""),"",EXP(H10*LN(E10)+I10*LN(F10)+J10*LN(G10)))</x:f>
      </x:c>
      <x:c r="L10" s="296" t="str">
        <x:f>IF(K10="","",100*K10)</x:f>
      </x:c>
      <x:c r="M10" s="233" t="str">
        <x:f>IF(K10="","",RANK(K10,$K$2:$K$18,0))</x:f>
      </x:c>
      <x:c r="N10" s="233" t="str">
        <x:f>IF(M10="","",IF(M10&lt;='00_README'!$B$22,"TINGGI",IF(M10&lt;='00_README'!$B$22+'00_README'!$B$23,"SEDANG","RENDAH")))</x:f>
      </x:c>
      <x:c r="O10" s="308" t="str">
        <x:f>IF(D10&lt;&gt;1,"",EXP((LN(E10)+LN(F10)+LN(G10))/3))</x:f>
      </x:c>
      <x:c r="P10" s="233" t="str">
        <x:f>IF(O10="","",RANK(O10,$O$2:$O$18,0))</x:f>
      </x:c>
      <x:c r="Q10" s="233" t="str">
        <x:f>IF(OR(M10="",P10=""),"",P10-M10)</x:f>
      </x:c>
      <x:c r="R10" s="308" t="str">
        <x:f>IF(A10&lt;&gt;'00_README'!$B$13,"",'10_READINESS_OPTIONAL'!H10)</x:f>
      </x:c>
      <x:c r="S10" s="308" t="str">
        <x:f>IF(A10&lt;&gt;'00_README'!$B$13,"",'10_READINESS_OPTIONAL'!J10)</x:f>
      </x:c>
      <x:c r="T10" s="233" t="str">
        <x:f>IF(OR(K10="",S10=""),"",IF(K10&gt;=MEDIAN($K$2:$K$18),IF(S10&gt;=MEDIAN($S$2:$S$18),"Rentan–Siap","Rentan–Belum Siap"),IF(S10&gt;=MEDIAN($S$2:$S$18),"Kurang Rentan–Siap","Kurang Rentan–Belum Siap")))</x:f>
      </x:c>
      <x:c r="U10" s="233" t="str">
        <x:f>IF(A10&lt;&gt;'00_README'!$B$13,"INACTIVE",IF(D10=1,IF('08_WEIGHTS'!J2="READY","READY","BLOCKED_WEIGHT"),"PENDING"))</x:f>
        <x:v>INACTIVE</x:v>
      </x:c>
      <x:c r="V10" s="321" t="str">
        <x:f>IF(U10="READY","Kategori dan kuadran masih draft; validasi sebelum publikasi.","")</x:f>
      </x:c>
    </x:row>
    <x:row r="11">
      <x:c r="A11" s="226" t="str">
        <x:v>Tier A</x:v>
      </x:c>
      <x:c r="B11" s="227" t="str">
        <x:v>S10</x:v>
      </x:c>
      <x:c r="C11" s="227" t="str">
        <x:v>Penyediaan Akomodasi dan Makan Minum</x:v>
      </x:c>
      <x:c r="D11" s="233" t="n">
        <x:f>'07_NORMALIZED'!P11</x:f>
        <x:v>0</x:v>
      </x:c>
      <x:c r="E11" s="308" t="n">
        <x:f>'07_NORMALIZED'!E11</x:f>
        <x:v>0.9303385506311311</x:v>
      </x:c>
      <x:c r="F11" s="308" t="str">
        <x:f>'07_NORMALIZED'!I11</x:f>
      </x:c>
      <x:c r="G11" s="308" t="str">
        <x:f>'07_NORMALIZED'!M11</x:f>
      </x:c>
      <x:c r="H11" s="308" t="str">
        <x:f>'08_WEIGHTS'!G2</x:f>
      </x:c>
      <x:c r="I11" s="308" t="str">
        <x:f>'08_WEIGHTS'!G3</x:f>
      </x:c>
      <x:c r="J11" s="308" t="n">
        <x:f>'08_WEIGHTS'!G4</x:f>
        <x:v>0</x:v>
      </x:c>
      <x:c r="K11" s="308" t="str">
        <x:f>IF(OR(D11&lt;&gt;1,H11="",I11="",J11=""),"",EXP(H11*LN(E11)+I11*LN(F11)+J11*LN(G11)))</x:f>
      </x:c>
      <x:c r="L11" s="296" t="str">
        <x:f>IF(K11="","",100*K11)</x:f>
      </x:c>
      <x:c r="M11" s="233" t="str">
        <x:f>IF(K11="","",RANK(K11,$K$2:$K$18,0))</x:f>
      </x:c>
      <x:c r="N11" s="233" t="str">
        <x:f>IF(M11="","",IF(M11&lt;='00_README'!$B$22,"TINGGI",IF(M11&lt;='00_README'!$B$22+'00_README'!$B$23,"SEDANG","RENDAH")))</x:f>
      </x:c>
      <x:c r="O11" s="308" t="str">
        <x:f>IF(D11&lt;&gt;1,"",EXP((LN(E11)+LN(F11)+LN(G11))/3))</x:f>
      </x:c>
      <x:c r="P11" s="233" t="str">
        <x:f>IF(O11="","",RANK(O11,$O$2:$O$18,0))</x:f>
      </x:c>
      <x:c r="Q11" s="233" t="str">
        <x:f>IF(OR(M11="",P11=""),"",P11-M11)</x:f>
      </x:c>
      <x:c r="R11" s="308" t="str">
        <x:f>IF(A11&lt;&gt;'00_README'!$B$13,"",'10_READINESS_OPTIONAL'!H11)</x:f>
      </x:c>
      <x:c r="S11" s="308" t="str">
        <x:f>IF(A11&lt;&gt;'00_README'!$B$13,"",'10_READINESS_OPTIONAL'!J11)</x:f>
      </x:c>
      <x:c r="T11" s="233" t="str">
        <x:f>IF(OR(K11="",S11=""),"",IF(K11&gt;=MEDIAN($K$2:$K$18),IF(S11&gt;=MEDIAN($S$2:$S$18),"Rentan–Siap","Rentan–Belum Siap"),IF(S11&gt;=MEDIAN($S$2:$S$18),"Kurang Rentan–Siap","Kurang Rentan–Belum Siap")))</x:f>
      </x:c>
      <x:c r="U11" s="233" t="str">
        <x:f>IF(A11&lt;&gt;'00_README'!$B$13,"INACTIVE",IF(D11=1,IF('08_WEIGHTS'!J2="READY","READY","BLOCKED_WEIGHT"),"PENDING"))</x:f>
        <x:v>INACTIVE</x:v>
      </x:c>
      <x:c r="V11" s="321" t="str">
        <x:f>IF(U11="READY","Kategori dan kuadran masih draft; validasi sebelum publikasi.","")</x:f>
      </x:c>
    </x:row>
    <x:row r="12">
      <x:c r="A12" s="226" t="str">
        <x:v>Tier A</x:v>
      </x:c>
      <x:c r="B12" s="227" t="str">
        <x:v>S11</x:v>
      </x:c>
      <x:c r="C12" s="227" t="str">
        <x:v>Aktivitas Jasa Lainnya</x:v>
      </x:c>
      <x:c r="D12" s="233" t="n">
        <x:f>'07_NORMALIZED'!P12</x:f>
        <x:v>0</x:v>
      </x:c>
      <x:c r="E12" s="308" t="n">
        <x:f>'07_NORMALIZED'!E12</x:f>
        <x:v>0.9165244514023526</x:v>
      </x:c>
      <x:c r="F12" s="308" t="str">
        <x:f>'07_NORMALIZED'!I12</x:f>
      </x:c>
      <x:c r="G12" s="308" t="str">
        <x:f>'07_NORMALIZED'!M12</x:f>
      </x:c>
      <x:c r="H12" s="308" t="str">
        <x:f>'08_WEIGHTS'!G2</x:f>
      </x:c>
      <x:c r="I12" s="308" t="str">
        <x:f>'08_WEIGHTS'!G3</x:f>
      </x:c>
      <x:c r="J12" s="308" t="n">
        <x:f>'08_WEIGHTS'!G4</x:f>
        <x:v>0</x:v>
      </x:c>
      <x:c r="K12" s="308" t="str">
        <x:f>IF(OR(D12&lt;&gt;1,H12="",I12="",J12=""),"",EXP(H12*LN(E12)+I12*LN(F12)+J12*LN(G12)))</x:f>
      </x:c>
      <x:c r="L12" s="296" t="str">
        <x:f>IF(K12="","",100*K12)</x:f>
      </x:c>
      <x:c r="M12" s="233" t="str">
        <x:f>IF(K12="","",RANK(K12,$K$2:$K$18,0))</x:f>
      </x:c>
      <x:c r="N12" s="233" t="str">
        <x:f>IF(M12="","",IF(M12&lt;='00_README'!$B$22,"TINGGI",IF(M12&lt;='00_README'!$B$22+'00_README'!$B$23,"SEDANG","RENDAH")))</x:f>
      </x:c>
      <x:c r="O12" s="308" t="str">
        <x:f>IF(D12&lt;&gt;1,"",EXP((LN(E12)+LN(F12)+LN(G12))/3))</x:f>
      </x:c>
      <x:c r="P12" s="233" t="str">
        <x:f>IF(O12="","",RANK(O12,$O$2:$O$18,0))</x:f>
      </x:c>
      <x:c r="Q12" s="233" t="str">
        <x:f>IF(OR(M12="",P12=""),"",P12-M12)</x:f>
      </x:c>
      <x:c r="R12" s="308" t="str">
        <x:f>IF(A12&lt;&gt;'00_README'!$B$13,"",'10_READINESS_OPTIONAL'!H12)</x:f>
      </x:c>
      <x:c r="S12" s="308" t="str">
        <x:f>IF(A12&lt;&gt;'00_README'!$B$13,"",'10_READINESS_OPTIONAL'!J12)</x:f>
      </x:c>
      <x:c r="T12" s="233" t="str">
        <x:f>IF(OR(K12="",S12=""),"",IF(K12&gt;=MEDIAN($K$2:$K$18),IF(S12&gt;=MEDIAN($S$2:$S$18),"Rentan–Siap","Rentan–Belum Siap"),IF(S12&gt;=MEDIAN($S$2:$S$18),"Kurang Rentan–Siap","Kurang Rentan–Belum Siap")))</x:f>
      </x:c>
      <x:c r="U12" s="233" t="str">
        <x:f>IF(A12&lt;&gt;'00_README'!$B$13,"INACTIVE",IF(D12=1,IF('08_WEIGHTS'!J2="READY","READY","BLOCKED_WEIGHT"),"PENDING"))</x:f>
        <x:v>INACTIVE</x:v>
      </x:c>
      <x:c r="V12" s="321" t="str">
        <x:f>IF(U12="READY","Kategori dan kuadran masih draft; validasi sebelum publikasi.","")</x:f>
      </x:c>
    </x:row>
    <x:row r="13">
      <x:c r="A13" s="226" t="str">
        <x:v>Tier B</x:v>
      </x:c>
      <x:c r="B13" s="227" t="str">
        <x:v>B1</x:v>
      </x:c>
      <x:c r="C13" s="227" t="str">
        <x:v>Industri Pengolahan (Gabungan S1–S6)</x:v>
      </x:c>
      <x:c r="D13" s="233" t="n">
        <x:f>'07_NORMALIZED'!P13</x:f>
        <x:v>0</x:v>
      </x:c>
      <x:c r="E13" s="308" t="n">
        <x:f>'07_NORMALIZED'!E13</x:f>
        <x:v>0.9346307749615497</x:v>
      </x:c>
      <x:c r="F13" s="308" t="str">
        <x:f>'07_NORMALIZED'!I13</x:f>
      </x:c>
      <x:c r="G13" s="308" t="str">
        <x:f>'07_NORMALIZED'!M13</x:f>
      </x:c>
      <x:c r="H13" s="308" t="str">
        <x:f>'08_WEIGHTS'!G2</x:f>
      </x:c>
      <x:c r="I13" s="308" t="str">
        <x:f>'08_WEIGHTS'!G3</x:f>
      </x:c>
      <x:c r="J13" s="308" t="n">
        <x:f>'08_WEIGHTS'!G4</x:f>
        <x:v>0</x:v>
      </x:c>
      <x:c r="K13" s="308" t="str">
        <x:f>IF(OR(D13&lt;&gt;1,H13="",I13="",J13=""),"",EXP(H13*LN(E13)+I13*LN(F13)+J13*LN(G13)))</x:f>
      </x:c>
      <x:c r="L13" s="296" t="str">
        <x:f>IF(K13="","",100*K13)</x:f>
      </x:c>
      <x:c r="M13" s="233" t="str">
        <x:f>IF(K13="","",RANK(K13,$K$2:$K$18,0))</x:f>
      </x:c>
      <x:c r="N13" s="233" t="str">
        <x:f>IF(M13="","",IF(M13&lt;='00_README'!$B$22,"TINGGI",IF(M13&lt;='00_README'!$B$22+'00_README'!$B$23,"SEDANG","RENDAH")))</x:f>
      </x:c>
      <x:c r="O13" s="308" t="str">
        <x:f>IF(D13&lt;&gt;1,"",EXP((LN(E13)+LN(F13)+LN(G13))/3))</x:f>
      </x:c>
      <x:c r="P13" s="233" t="str">
        <x:f>IF(O13="","",RANK(O13,$O$2:$O$18,0))</x:f>
      </x:c>
      <x:c r="Q13" s="233" t="str">
        <x:f>IF(OR(M13="",P13=""),"",P13-M13)</x:f>
      </x:c>
      <x:c r="R13" s="308" t="str">
        <x:f>IF(A13&lt;&gt;'00_README'!$B$13,"",'10_READINESS_OPTIONAL'!H13)</x:f>
      </x:c>
      <x:c r="S13" s="308" t="str">
        <x:f>IF(A13&lt;&gt;'00_README'!$B$13,"",'10_READINESS_OPTIONAL'!J13)</x:f>
      </x:c>
      <x:c r="T13" s="233" t="str">
        <x:f>IF(OR(K13="",S13=""),"",IF(K13&gt;=MEDIAN($K$2:$K$18),IF(S13&gt;=MEDIAN($S$2:$S$18),"Rentan–Siap","Rentan–Belum Siap"),IF(S13&gt;=MEDIAN($S$2:$S$18),"Kurang Rentan–Siap","Kurang Rentan–Belum Siap")))</x:f>
      </x:c>
      <x:c r="U13" s="233" t="str">
        <x:f>IF(A13&lt;&gt;'00_README'!$B$13,"INACTIVE",IF(D13=1,IF('08_WEIGHTS'!J2="READY","READY","BLOCKED_WEIGHT"),"PENDING"))</x:f>
        <x:v>INACTIVE</x:v>
      </x:c>
      <x:c r="V13" s="321" t="str">
        <x:f>IF(U13="READY","Kategori dan kuadran masih draft; validasi sebelum publikasi.","")</x:f>
      </x:c>
    </x:row>
    <x:row r="14">
      <x:c r="A14" s="226" t="str">
        <x:v>Tier B</x:v>
      </x:c>
      <x:c r="B14" s="227" t="str">
        <x:v>B2</x:v>
      </x:c>
      <x:c r="C14" s="227" t="str">
        <x:v>Pertanian, Kehutanan, dan Perikanan</x:v>
      </x:c>
      <x:c r="D14" s="233" t="n">
        <x:f>'07_NORMALIZED'!P14</x:f>
        <x:v>0</x:v>
      </x:c>
      <x:c r="E14" s="308" t="n">
        <x:f>'07_NORMALIZED'!E14</x:f>
        <x:v>0.9785001943287334</x:v>
      </x:c>
      <x:c r="F14" s="308" t="str">
        <x:f>'07_NORMALIZED'!I14</x:f>
      </x:c>
      <x:c r="G14" s="308" t="str">
        <x:f>'07_NORMALIZED'!M14</x:f>
      </x:c>
      <x:c r="H14" s="308" t="str">
        <x:f>'08_WEIGHTS'!G2</x:f>
      </x:c>
      <x:c r="I14" s="308" t="str">
        <x:f>'08_WEIGHTS'!G3</x:f>
      </x:c>
      <x:c r="J14" s="308" t="n">
        <x:f>'08_WEIGHTS'!G4</x:f>
        <x:v>0</x:v>
      </x:c>
      <x:c r="K14" s="308" t="str">
        <x:f>IF(OR(D14&lt;&gt;1,H14="",I14="",J14=""),"",EXP(H14*LN(E14)+I14*LN(F14)+J14*LN(G14)))</x:f>
      </x:c>
      <x:c r="L14" s="296" t="str">
        <x:f>IF(K14="","",100*K14)</x:f>
      </x:c>
      <x:c r="M14" s="233" t="str">
        <x:f>IF(K14="","",RANK(K14,$K$2:$K$18,0))</x:f>
      </x:c>
      <x:c r="N14" s="233" t="str">
        <x:f>IF(M14="","",IF(M14&lt;='00_README'!$B$22,"TINGGI",IF(M14&lt;='00_README'!$B$22+'00_README'!$B$23,"SEDANG","RENDAH")))</x:f>
      </x:c>
      <x:c r="O14" s="308" t="str">
        <x:f>IF(D14&lt;&gt;1,"",EXP((LN(E14)+LN(F14)+LN(G14))/3))</x:f>
      </x:c>
      <x:c r="P14" s="233" t="str">
        <x:f>IF(O14="","",RANK(O14,$O$2:$O$18,0))</x:f>
      </x:c>
      <x:c r="Q14" s="233" t="str">
        <x:f>IF(OR(M14="",P14=""),"",P14-M14)</x:f>
      </x:c>
      <x:c r="R14" s="308" t="str">
        <x:f>IF(A14&lt;&gt;'00_README'!$B$13,"",'10_READINESS_OPTIONAL'!H14)</x:f>
      </x:c>
      <x:c r="S14" s="308" t="str">
        <x:f>IF(A14&lt;&gt;'00_README'!$B$13,"",'10_READINESS_OPTIONAL'!J14)</x:f>
      </x:c>
      <x:c r="T14" s="233" t="str">
        <x:f>IF(OR(K14="",S14=""),"",IF(K14&gt;=MEDIAN($K$2:$K$18),IF(S14&gt;=MEDIAN($S$2:$S$18),"Rentan–Siap","Rentan–Belum Siap"),IF(S14&gt;=MEDIAN($S$2:$S$18),"Kurang Rentan–Siap","Kurang Rentan–Belum Siap")))</x:f>
      </x:c>
      <x:c r="U14" s="233" t="str">
        <x:f>IF(A14&lt;&gt;'00_README'!$B$13,"INACTIVE",IF(D14=1,IF('08_WEIGHTS'!J2="READY","READY","BLOCKED_WEIGHT"),"PENDING"))</x:f>
        <x:v>INACTIVE</x:v>
      </x:c>
      <x:c r="V14" s="321" t="str">
        <x:f>IF(U14="READY","Kategori dan kuadran masih draft; validasi sebelum publikasi.","")</x:f>
      </x:c>
    </x:row>
    <x:row r="15">
      <x:c r="A15" s="226" t="str">
        <x:v>Tier B</x:v>
      </x:c>
      <x:c r="B15" s="227" t="str">
        <x:v>B3</x:v>
      </x:c>
      <x:c r="C15" s="227" t="str">
        <x:v>Perdagangan Besar dan Eceran</x:v>
      </x:c>
      <x:c r="D15" s="233" t="n">
        <x:f>'07_NORMALIZED'!P15</x:f>
        <x:v>0</x:v>
      </x:c>
      <x:c r="E15" s="308" t="n">
        <x:f>'07_NORMALIZED'!E15</x:f>
        <x:v>0.9078497277815515</x:v>
      </x:c>
      <x:c r="F15" s="308" t="str">
        <x:f>'07_NORMALIZED'!I15</x:f>
      </x:c>
      <x:c r="G15" s="308" t="str">
        <x:f>'07_NORMALIZED'!M15</x:f>
      </x:c>
      <x:c r="H15" s="308" t="str">
        <x:f>'08_WEIGHTS'!G2</x:f>
      </x:c>
      <x:c r="I15" s="308" t="str">
        <x:f>'08_WEIGHTS'!G3</x:f>
      </x:c>
      <x:c r="J15" s="308" t="n">
        <x:f>'08_WEIGHTS'!G4</x:f>
        <x:v>0</x:v>
      </x:c>
      <x:c r="K15" s="308" t="str">
        <x:f>IF(OR(D15&lt;&gt;1,H15="",I15="",J15=""),"",EXP(H15*LN(E15)+I15*LN(F15)+J15*LN(G15)))</x:f>
      </x:c>
      <x:c r="L15" s="296" t="str">
        <x:f>IF(K15="","",100*K15)</x:f>
      </x:c>
      <x:c r="M15" s="233" t="str">
        <x:f>IF(K15="","",RANK(K15,$K$2:$K$18,0))</x:f>
      </x:c>
      <x:c r="N15" s="233" t="str">
        <x:f>IF(M15="","",IF(M15&lt;='00_README'!$B$22,"TINGGI",IF(M15&lt;='00_README'!$B$22+'00_README'!$B$23,"SEDANG","RENDAH")))</x:f>
      </x:c>
      <x:c r="O15" s="308" t="str">
        <x:f>IF(D15&lt;&gt;1,"",EXP((LN(E15)+LN(F15)+LN(G15))/3))</x:f>
      </x:c>
      <x:c r="P15" s="233" t="str">
        <x:f>IF(O15="","",RANK(O15,$O$2:$O$18,0))</x:f>
      </x:c>
      <x:c r="Q15" s="233" t="str">
        <x:f>IF(OR(M15="",P15=""),"",P15-M15)</x:f>
      </x:c>
      <x:c r="R15" s="308" t="str">
        <x:f>IF(A15&lt;&gt;'00_README'!$B$13,"",'10_READINESS_OPTIONAL'!H15)</x:f>
      </x:c>
      <x:c r="S15" s="308" t="str">
        <x:f>IF(A15&lt;&gt;'00_README'!$B$13,"",'10_READINESS_OPTIONAL'!J15)</x:f>
      </x:c>
      <x:c r="T15" s="233" t="str">
        <x:f>IF(OR(K15="",S15=""),"",IF(K15&gt;=MEDIAN($K$2:$K$18),IF(S15&gt;=MEDIAN($S$2:$S$18),"Rentan–Siap","Rentan–Belum Siap"),IF(S15&gt;=MEDIAN($S$2:$S$18),"Kurang Rentan–Siap","Kurang Rentan–Belum Siap")))</x:f>
      </x:c>
      <x:c r="U15" s="233" t="str">
        <x:f>IF(A15&lt;&gt;'00_README'!$B$13,"INACTIVE",IF(D15=1,IF('08_WEIGHTS'!J2="READY","READY","BLOCKED_WEIGHT"),"PENDING"))</x:f>
        <x:v>INACTIVE</x:v>
      </x:c>
      <x:c r="V15" s="321" t="str">
        <x:f>IF(U15="READY","Kategori dan kuadran masih draft; validasi sebelum publikasi.","")</x:f>
      </x:c>
    </x:row>
    <x:row r="16">
      <x:c r="A16" s="226" t="str">
        <x:v>Tier B</x:v>
      </x:c>
      <x:c r="B16" s="227" t="str">
        <x:v>B4</x:v>
      </x:c>
      <x:c r="C16" s="227" t="str">
        <x:v>Transportasi dan Pergudangan</x:v>
      </x:c>
      <x:c r="D16" s="233" t="n">
        <x:f>'07_NORMALIZED'!P16</x:f>
        <x:v>0</x:v>
      </x:c>
      <x:c r="E16" s="308" t="n">
        <x:f>'07_NORMALIZED'!E16</x:f>
        <x:v>0.9084027543008044</x:v>
      </x:c>
      <x:c r="F16" s="308" t="str">
        <x:f>'07_NORMALIZED'!I16</x:f>
      </x:c>
      <x:c r="G16" s="308" t="str">
        <x:f>'07_NORMALIZED'!M16</x:f>
      </x:c>
      <x:c r="H16" s="308" t="str">
        <x:f>'08_WEIGHTS'!G2</x:f>
      </x:c>
      <x:c r="I16" s="308" t="str">
        <x:f>'08_WEIGHTS'!G3</x:f>
      </x:c>
      <x:c r="J16" s="308" t="n">
        <x:f>'08_WEIGHTS'!G4</x:f>
        <x:v>0</x:v>
      </x:c>
      <x:c r="K16" s="308" t="str">
        <x:f>IF(OR(D16&lt;&gt;1,H16="",I16="",J16=""),"",EXP(H16*LN(E16)+I16*LN(F16)+J16*LN(G16)))</x:f>
      </x:c>
      <x:c r="L16" s="296" t="str">
        <x:f>IF(K16="","",100*K16)</x:f>
      </x:c>
      <x:c r="M16" s="233" t="str">
        <x:f>IF(K16="","",RANK(K16,$K$2:$K$18,0))</x:f>
      </x:c>
      <x:c r="N16" s="233" t="str">
        <x:f>IF(M16="","",IF(M16&lt;='00_README'!$B$22,"TINGGI",IF(M16&lt;='00_README'!$B$22+'00_README'!$B$23,"SEDANG","RENDAH")))</x:f>
      </x:c>
      <x:c r="O16" s="308" t="str">
        <x:f>IF(D16&lt;&gt;1,"",EXP((LN(E16)+LN(F16)+LN(G16))/3))</x:f>
      </x:c>
      <x:c r="P16" s="233" t="str">
        <x:f>IF(O16="","",RANK(O16,$O$2:$O$18,0))</x:f>
      </x:c>
      <x:c r="Q16" s="233" t="str">
        <x:f>IF(OR(M16="",P16=""),"",P16-M16)</x:f>
      </x:c>
      <x:c r="R16" s="308" t="str">
        <x:f>IF(A16&lt;&gt;'00_README'!$B$13,"",'10_READINESS_OPTIONAL'!H16)</x:f>
      </x:c>
      <x:c r="S16" s="308" t="str">
        <x:f>IF(A16&lt;&gt;'00_README'!$B$13,"",'10_READINESS_OPTIONAL'!J16)</x:f>
      </x:c>
      <x:c r="T16" s="233" t="str">
        <x:f>IF(OR(K16="",S16=""),"",IF(K16&gt;=MEDIAN($K$2:$K$18),IF(S16&gt;=MEDIAN($S$2:$S$18),"Rentan–Siap","Rentan–Belum Siap"),IF(S16&gt;=MEDIAN($S$2:$S$18),"Kurang Rentan–Siap","Kurang Rentan–Belum Siap")))</x:f>
      </x:c>
      <x:c r="U16" s="233" t="str">
        <x:f>IF(A16&lt;&gt;'00_README'!$B$13,"INACTIVE",IF(D16=1,IF('08_WEIGHTS'!J2="READY","READY","BLOCKED_WEIGHT"),"PENDING"))</x:f>
        <x:v>INACTIVE</x:v>
      </x:c>
      <x:c r="V16" s="321" t="str">
        <x:f>IF(U16="READY","Kategori dan kuadran masih draft; validasi sebelum publikasi.","")</x:f>
      </x:c>
    </x:row>
    <x:row r="17">
      <x:c r="A17" s="226" t="str">
        <x:v>Tier B</x:v>
      </x:c>
      <x:c r="B17" s="227" t="str">
        <x:v>B5</x:v>
      </x:c>
      <x:c r="C17" s="227" t="str">
        <x:v>Penyediaan Akomodasi dan Makan Minum</x:v>
      </x:c>
      <x:c r="D17" s="233" t="n">
        <x:f>'07_NORMALIZED'!P17</x:f>
        <x:v>0</x:v>
      </x:c>
      <x:c r="E17" s="308" t="n">
        <x:f>'07_NORMALIZED'!E17</x:f>
        <x:v>0.9303385506311311</x:v>
      </x:c>
      <x:c r="F17" s="308" t="str">
        <x:f>'07_NORMALIZED'!I17</x:f>
      </x:c>
      <x:c r="G17" s="308" t="str">
        <x:f>'07_NORMALIZED'!M17</x:f>
      </x:c>
      <x:c r="H17" s="308" t="str">
        <x:f>'08_WEIGHTS'!G2</x:f>
      </x:c>
      <x:c r="I17" s="308" t="str">
        <x:f>'08_WEIGHTS'!G3</x:f>
      </x:c>
      <x:c r="J17" s="308" t="n">
        <x:f>'08_WEIGHTS'!G4</x:f>
        <x:v>0</x:v>
      </x:c>
      <x:c r="K17" s="308" t="str">
        <x:f>IF(OR(D17&lt;&gt;1,H17="",I17="",J17=""),"",EXP(H17*LN(E17)+I17*LN(F17)+J17*LN(G17)))</x:f>
      </x:c>
      <x:c r="L17" s="296" t="str">
        <x:f>IF(K17="","",100*K17)</x:f>
      </x:c>
      <x:c r="M17" s="233" t="str">
        <x:f>IF(K17="","",RANK(K17,$K$2:$K$18,0))</x:f>
      </x:c>
      <x:c r="N17" s="233" t="str">
        <x:f>IF(M17="","",IF(M17&lt;='00_README'!$B$22,"TINGGI",IF(M17&lt;='00_README'!$B$22+'00_README'!$B$23,"SEDANG","RENDAH")))</x:f>
      </x:c>
      <x:c r="O17" s="308" t="str">
        <x:f>IF(D17&lt;&gt;1,"",EXP((LN(E17)+LN(F17)+LN(G17))/3))</x:f>
      </x:c>
      <x:c r="P17" s="233" t="str">
        <x:f>IF(O17="","",RANK(O17,$O$2:$O$18,0))</x:f>
      </x:c>
      <x:c r="Q17" s="233" t="str">
        <x:f>IF(OR(M17="",P17=""),"",P17-M17)</x:f>
      </x:c>
      <x:c r="R17" s="308" t="str">
        <x:f>IF(A17&lt;&gt;'00_README'!$B$13,"",'10_READINESS_OPTIONAL'!H17)</x:f>
      </x:c>
      <x:c r="S17" s="308" t="str">
        <x:f>IF(A17&lt;&gt;'00_README'!$B$13,"",'10_READINESS_OPTIONAL'!J17)</x:f>
      </x:c>
      <x:c r="T17" s="233" t="str">
        <x:f>IF(OR(K17="",S17=""),"",IF(K17&gt;=MEDIAN($K$2:$K$18),IF(S17&gt;=MEDIAN($S$2:$S$18),"Rentan–Siap","Rentan–Belum Siap"),IF(S17&gt;=MEDIAN($S$2:$S$18),"Kurang Rentan–Siap","Kurang Rentan–Belum Siap")))</x:f>
      </x:c>
      <x:c r="U17" s="233" t="str">
        <x:f>IF(A17&lt;&gt;'00_README'!$B$13,"INACTIVE",IF(D17=1,IF('08_WEIGHTS'!J2="READY","READY","BLOCKED_WEIGHT"),"PENDING"))</x:f>
        <x:v>INACTIVE</x:v>
      </x:c>
      <x:c r="V17" s="321" t="str">
        <x:f>IF(U17="READY","Kategori dan kuadran masih draft; validasi sebelum publikasi.","")</x:f>
      </x:c>
    </x:row>
    <x:row r="18">
      <x:c r="A18" s="229" t="str">
        <x:v>Tier B</x:v>
      </x:c>
      <x:c r="B18" s="230" t="str">
        <x:v>B6</x:v>
      </x:c>
      <x:c r="C18" s="230" t="str">
        <x:v>Aktivitas Jasa Lainnya</x:v>
      </x:c>
      <x:c r="D18" s="286" t="n">
        <x:f>'07_NORMALIZED'!P18</x:f>
        <x:v>0</x:v>
      </x:c>
      <x:c r="E18" s="311" t="n">
        <x:f>'07_NORMALIZED'!E18</x:f>
        <x:v>0.9165244514023526</x:v>
      </x:c>
      <x:c r="F18" s="311" t="n">
        <x:f>'07_NORMALIZED'!I18</x:f>
        <x:v>0</x:v>
      </x:c>
      <x:c r="G18" s="311" t="n">
        <x:f>'07_NORMALIZED'!M18</x:f>
        <x:v>0</x:v>
      </x:c>
      <x:c r="H18" s="311" t="str">
        <x:f>'08_WEIGHTS'!G2</x:f>
      </x:c>
      <x:c r="I18" s="311" t="str">
        <x:f>'08_WEIGHTS'!G3</x:f>
      </x:c>
      <x:c r="J18" s="311" t="n">
        <x:f>'08_WEIGHTS'!G4</x:f>
        <x:v>0</x:v>
      </x:c>
      <x:c r="K18" s="311" t="str">
        <x:f>IF(OR(D18&lt;&gt;1,H18="",I18="",J18=""),"",EXP(H18*LN(E18)+I18*LN(F18)+J18*LN(G18)))</x:f>
      </x:c>
      <x:c r="L18" s="301" t="str">
        <x:f>IF(K18="","",100*K18)</x:f>
      </x:c>
      <x:c r="M18" s="286" t="str">
        <x:f>IF(K18="","",RANK(K18,$K$2:$K$18,0))</x:f>
      </x:c>
      <x:c r="N18" s="286" t="str">
        <x:f>IF(M18="","",IF(M18&lt;='00_README'!$B$22,"TINGGI",IF(M18&lt;='00_README'!$B$22+'00_README'!$B$23,"SEDANG","RENDAH")))</x:f>
      </x:c>
      <x:c r="O18" s="311" t="str">
        <x:f>IF(D18&lt;&gt;1,"",EXP((LN(E18)+LN(F18)+LN(G18))/3))</x:f>
      </x:c>
      <x:c r="P18" s="286" t="str">
        <x:f>IF(O18="","",RANK(O18,$O$2:$O$18,0))</x:f>
      </x:c>
      <x:c r="Q18" s="286" t="str">
        <x:f>IF(OR(M18="",P18=""),"",P18-M18)</x:f>
      </x:c>
      <x:c r="R18" s="311" t="str">
        <x:f>IF(A18&lt;&gt;'00_README'!$B$13,"",'10_READINESS_OPTIONAL'!H18)</x:f>
      </x:c>
      <x:c r="S18" s="311" t="str">
        <x:f>IF(A18&lt;&gt;'00_README'!$B$13,"",'10_READINESS_OPTIONAL'!J18)</x:f>
      </x:c>
      <x:c r="T18" s="286" t="str">
        <x:f>IF(OR(K18="",S18=""),"",IF(K18&gt;=MEDIAN($K$2:$K$18),IF(S18&gt;=MEDIAN($S$2:$S$18),"Rentan–Siap","Rentan–Belum Siap"),IF(S18&gt;=MEDIAN($S$2:$S$18),"Kurang Rentan–Siap","Kurang Rentan–Belum Siap")))</x:f>
      </x:c>
      <x:c r="U18" s="286" t="str">
        <x:f>IF(A18&lt;&gt;'00_README'!$B$13,"INACTIVE",IF(D18=1,IF('08_WEIGHTS'!J2="READY","READY","BLOCKED_WEIGHT"),"PENDING"))</x:f>
        <x:v>INACTIVE</x:v>
      </x:c>
      <x:c r="V18" s="323" t="str">
        <x:f>IF(U18="READY","Kategori dan kuadran masih draft; validasi sebelum publikasi.","")</x:f>
      </x:c>
    </x:row>
  </x:sheetData>
  <x:conditionalFormatting sqref="U2:U18">
    <x:cfRule type="containsText" dxfId="70" priority="1" operator="containsText" text="BLOCKED"/>
    <x:cfRule type="containsText" dxfId="71" priority="2" operator="containsText" text="ERROR"/>
    <x:cfRule type="containsText" dxfId="72" priority="3" operator="containsText" text="READY"/>
    <x:cfRule type="containsText" dxfId="73" priority="4" operator="containsText" text="VERIFIED"/>
    <x:cfRule type="containsText" dxfId="74" priority="5" operator="containsText" text="PENDING"/>
  </x:conditionalFormatting>
  <x:conditionalFormatting sqref="K2:K18">
    <x:cfRule type="colorScale" priority="6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9eb3d8e79b547b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30" hidden="0" customWidth="1"/>
    <x:col min="5" max="5" width="16" hidden="0" customWidth="1"/>
    <x:col min="6" max="6" width="16" hidden="0" customWidth="1"/>
    <x:col min="7" max="7" width="15" hidden="0" customWidth="1"/>
    <x:col min="8" max="8" width="16" hidden="0" customWidth="1"/>
    <x:col min="9" max="9" width="20" hidden="0" customWidth="1"/>
    <x:col min="10" max="10" width="23" hidden="0" customWidth="1"/>
    <x:col min="11" max="11" width="22" hidden="0" customWidth="1"/>
    <x:col min="12" max="12" width="18" hidden="0" customWidth="1"/>
    <x:col min="13" max="13" width="18" hidden="0" customWidth="1"/>
    <x:col min="14" max="14" width="45" hidden="0" customWidth="1"/>
  </x:cols>
  <x:sheetData>
    <x:row r="1" ht="34" customHeight="1">
      <x:c r="A1" s="220" t="str">
        <x:v>tier</x:v>
      </x:c>
      <x:c r="B1" s="221" t="str">
        <x:v>sector_id</x:v>
      </x:c>
      <x:c r="C1" s="221" t="str">
        <x:v>sector_name</x:v>
      </x:c>
      <x:c r="D1" s="221" t="str">
        <x:v>metric_variant</x:v>
      </x:c>
      <x:c r="E1" s="221" t="str">
        <x:v>numerator</x:v>
      </x:c>
      <x:c r="F1" s="221" t="str">
        <x:v>denominator</x:v>
      </x:c>
      <x:c r="G1" s="221" t="str">
        <x:v>scale_factor</x:v>
      </x:c>
      <x:c r="H1" s="221" t="str">
        <x:v>raw_value</x:v>
      </x:c>
      <x:c r="I1" s="221" t="str">
        <x:v>unit</x:v>
      </x:c>
      <x:c r="J1" s="221" t="str">
        <x:v>normalized_input_0_1</x:v>
      </x:c>
      <x:c r="K1" s="221" t="str">
        <x:v>source_id</x:v>
      </x:c>
      <x:c r="L1" s="221" t="str">
        <x:v>evidence_status</x:v>
      </x:c>
      <x:c r="M1" s="221" t="str">
        <x:v>workflow_status</x:v>
      </x:c>
      <x:c r="N1" s="222" t="str">
        <x:v>notes</x:v>
      </x:c>
    </x:row>
    <x:row r="2">
      <x:c r="A2" s="223" t="str">
        <x:v>Tier A</x:v>
      </x:c>
      <x:c r="B2" s="224" t="str">
        <x:v>S1</x:v>
      </x:c>
      <x:c r="C2" s="224" t="str">
        <x:v>Industri Makanan dan Minuman</x:v>
      </x:c>
      <x:c r="D2" s="285" t="str"/>
      <x:c r="E2" s="285"/>
      <x:c r="F2" s="285"/>
      <x:c r="G2" s="285"/>
      <x:c r="H2" s="305" t="str">
        <x:f>IF(OR(E2="",F2="",G2="",F2=0),"",E2/F2*G2)</x:f>
      </x:c>
      <x:c r="I2" s="312" t="str"/>
      <x:c r="J2" s="312"/>
      <x:c r="K2" s="285" t="str"/>
      <x:c r="L2" s="285" t="str">
        <x:v>UNKNOWN</x:v>
      </x:c>
      <x:c r="M2" s="285" t="str">
        <x:v>PENDING</x:v>
      </x:c>
      <x:c r="N2" s="292" t="str">
        <x:v>Opsional; tidak masuk pembobotan IKOS.</x:v>
      </x:c>
    </x:row>
    <x:row r="3">
      <x:c r="A3" s="226" t="str">
        <x:v>Tier A</x:v>
      </x:c>
      <x:c r="B3" s="227" t="str">
        <x:v>S2</x:v>
      </x:c>
      <x:c r="C3" s="227" t="str">
        <x:v>Industri Tekstil dan Pakaian</x:v>
      </x:c>
      <x:c r="D3" s="235" t="str"/>
      <x:c r="E3" s="235"/>
      <x:c r="F3" s="235"/>
      <x:c r="G3" s="235"/>
      <x:c r="H3" s="308" t="str">
        <x:f>IF(OR(E3="",F3="",G3="",F3=0),"",E3/F3*G3)</x:f>
      </x:c>
      <x:c r="I3" s="314" t="str"/>
      <x:c r="J3" s="314"/>
      <x:c r="K3" s="235" t="str"/>
      <x:c r="L3" s="235" t="str">
        <x:v>UNKNOWN</x:v>
      </x:c>
      <x:c r="M3" s="235" t="str">
        <x:v>PENDING</x:v>
      </x:c>
      <x:c r="N3" s="297" t="str">
        <x:v>Opsional; tidak masuk pembobotan IKOS.</x:v>
      </x:c>
    </x:row>
    <x:row r="4">
      <x:c r="A4" s="226" t="str">
        <x:v>Tier A</x:v>
      </x:c>
      <x:c r="B4" s="227" t="str">
        <x:v>S3</x:v>
      </x:c>
      <x:c r="C4" s="227" t="str">
        <x:v>Industri Otomotif</x:v>
      </x:c>
      <x:c r="D4" s="235" t="str"/>
      <x:c r="E4" s="235"/>
      <x:c r="F4" s="235"/>
      <x:c r="G4" s="235"/>
      <x:c r="H4" s="308" t="str">
        <x:f>IF(OR(E4="",F4="",G4="",F4=0),"",E4/F4*G4)</x:f>
      </x:c>
      <x:c r="I4" s="314" t="str"/>
      <x:c r="J4" s="314"/>
      <x:c r="K4" s="235" t="str"/>
      <x:c r="L4" s="235" t="str">
        <x:v>UNKNOWN</x:v>
      </x:c>
      <x:c r="M4" s="235" t="str">
        <x:v>PENDING</x:v>
      </x:c>
      <x:c r="N4" s="297" t="str">
        <x:v>Opsional; tidak masuk pembobotan IKOS.</x:v>
      </x:c>
    </x:row>
    <x:row r="5">
      <x:c r="A5" s="226" t="str">
        <x:v>Tier A</x:v>
      </x:c>
      <x:c r="B5" s="227" t="str">
        <x:v>S4</x:v>
      </x:c>
      <x:c r="C5" s="227" t="str">
        <x:v>Industri Kimia dan Farmasi/Alat Kesehatan</x:v>
      </x:c>
      <x:c r="D5" s="235" t="str"/>
      <x:c r="E5" s="235"/>
      <x:c r="F5" s="235"/>
      <x:c r="G5" s="235"/>
      <x:c r="H5" s="308" t="str">
        <x:f>IF(OR(E5="",F5="",G5="",F5=0),"",E5/F5*G5)</x:f>
      </x:c>
      <x:c r="I5" s="314" t="str"/>
      <x:c r="J5" s="314"/>
      <x:c r="K5" s="235" t="str"/>
      <x:c r="L5" s="235" t="str">
        <x:v>UNKNOWN</x:v>
      </x:c>
      <x:c r="M5" s="235" t="str">
        <x:v>PENDING</x:v>
      </x:c>
      <x:c r="N5" s="297" t="str">
        <x:v>Opsional; tidak masuk pembobotan IKOS.</x:v>
      </x:c>
    </x:row>
    <x:row r="6">
      <x:c r="A6" s="226" t="str">
        <x:v>Tier A</x:v>
      </x:c>
      <x:c r="B6" s="227" t="str">
        <x:v>S5</x:v>
      </x:c>
      <x:c r="C6" s="227" t="str">
        <x:v>Industri Elektronik</x:v>
      </x:c>
      <x:c r="D6" s="235" t="str"/>
      <x:c r="E6" s="235"/>
      <x:c r="F6" s="235"/>
      <x:c r="G6" s="235"/>
      <x:c r="H6" s="308" t="str">
        <x:f>IF(OR(E6="",F6="",G6="",F6=0),"",E6/F6*G6)</x:f>
      </x:c>
      <x:c r="I6" s="314" t="str"/>
      <x:c r="J6" s="314"/>
      <x:c r="K6" s="235" t="str"/>
      <x:c r="L6" s="235" t="str">
        <x:v>UNKNOWN</x:v>
      </x:c>
      <x:c r="M6" s="235" t="str">
        <x:v>PENDING</x:v>
      </x:c>
      <x:c r="N6" s="297" t="str">
        <x:v>Opsional; tidak masuk pembobotan IKOS.</x:v>
      </x:c>
    </x:row>
    <x:row r="7">
      <x:c r="A7" s="226" t="str">
        <x:v>Tier A</x:v>
      </x:c>
      <x:c r="B7" s="227" t="str">
        <x:v>S6</x:v>
      </x:c>
      <x:c r="C7" s="227" t="str">
        <x:v>Industri Pengolahan Lainnya</x:v>
      </x:c>
      <x:c r="D7" s="235" t="str"/>
      <x:c r="E7" s="235"/>
      <x:c r="F7" s="235"/>
      <x:c r="G7" s="235"/>
      <x:c r="H7" s="308" t="str">
        <x:f>IF(OR(E7="",F7="",G7="",F7=0),"",E7/F7*G7)</x:f>
      </x:c>
      <x:c r="I7" s="314" t="str"/>
      <x:c r="J7" s="314"/>
      <x:c r="K7" s="235" t="str"/>
      <x:c r="L7" s="235" t="str">
        <x:v>UNKNOWN</x:v>
      </x:c>
      <x:c r="M7" s="235" t="str">
        <x:v>PENDING</x:v>
      </x:c>
      <x:c r="N7" s="297" t="str">
        <x:v>Opsional; tidak masuk pembobotan IKOS.</x:v>
      </x:c>
    </x:row>
    <x:row r="8">
      <x:c r="A8" s="226" t="str">
        <x:v>Tier A</x:v>
      </x:c>
      <x:c r="B8" s="227" t="str">
        <x:v>S7</x:v>
      </x:c>
      <x:c r="C8" s="227" t="str">
        <x:v>Pertanian, Kehutanan, dan Perikanan</x:v>
      </x:c>
      <x:c r="D8" s="235" t="str"/>
      <x:c r="E8" s="235"/>
      <x:c r="F8" s="235"/>
      <x:c r="G8" s="235"/>
      <x:c r="H8" s="308" t="str">
        <x:f>IF(OR(E8="",F8="",G8="",F8=0),"",E8/F8*G8)</x:f>
      </x:c>
      <x:c r="I8" s="314" t="str"/>
      <x:c r="J8" s="314"/>
      <x:c r="K8" s="235" t="str"/>
      <x:c r="L8" s="235" t="str">
        <x:v>UNKNOWN</x:v>
      </x:c>
      <x:c r="M8" s="235" t="str">
        <x:v>PENDING</x:v>
      </x:c>
      <x:c r="N8" s="297" t="str">
        <x:v>Opsional; tidak masuk pembobotan IKOS.</x:v>
      </x:c>
    </x:row>
    <x:row r="9">
      <x:c r="A9" s="226" t="str">
        <x:v>Tier A</x:v>
      </x:c>
      <x:c r="B9" s="227" t="str">
        <x:v>S8</x:v>
      </x:c>
      <x:c r="C9" s="227" t="str">
        <x:v>Perdagangan Besar dan Eceran</x:v>
      </x:c>
      <x:c r="D9" s="235" t="str"/>
      <x:c r="E9" s="235"/>
      <x:c r="F9" s="235"/>
      <x:c r="G9" s="235"/>
      <x:c r="H9" s="308" t="str">
        <x:f>IF(OR(E9="",F9="",G9="",F9=0),"",E9/F9*G9)</x:f>
      </x:c>
      <x:c r="I9" s="314" t="str"/>
      <x:c r="J9" s="314"/>
      <x:c r="K9" s="235" t="str"/>
      <x:c r="L9" s="235" t="str">
        <x:v>UNKNOWN</x:v>
      </x:c>
      <x:c r="M9" s="235" t="str">
        <x:v>PENDING</x:v>
      </x:c>
      <x:c r="N9" s="297" t="str">
        <x:v>Opsional; tidak masuk pembobotan IKOS.</x:v>
      </x:c>
    </x:row>
    <x:row r="10">
      <x:c r="A10" s="226" t="str">
        <x:v>Tier A</x:v>
      </x:c>
      <x:c r="B10" s="227" t="str">
        <x:v>S9</x:v>
      </x:c>
      <x:c r="C10" s="227" t="str">
        <x:v>Transportasi dan Pergudangan</x:v>
      </x:c>
      <x:c r="D10" s="235" t="str"/>
      <x:c r="E10" s="235"/>
      <x:c r="F10" s="235"/>
      <x:c r="G10" s="235"/>
      <x:c r="H10" s="308" t="str">
        <x:f>IF(OR(E10="",F10="",G10="",F10=0),"",E10/F10*G10)</x:f>
      </x:c>
      <x:c r="I10" s="314" t="str"/>
      <x:c r="J10" s="314"/>
      <x:c r="K10" s="235" t="str"/>
      <x:c r="L10" s="235" t="str">
        <x:v>UNKNOWN</x:v>
      </x:c>
      <x:c r="M10" s="235" t="str">
        <x:v>PENDING</x:v>
      </x:c>
      <x:c r="N10" s="297" t="str">
        <x:v>Opsional; tidak masuk pembobotan IKOS.</x:v>
      </x:c>
    </x:row>
    <x:row r="11">
      <x:c r="A11" s="226" t="str">
        <x:v>Tier A</x:v>
      </x:c>
      <x:c r="B11" s="227" t="str">
        <x:v>S10</x:v>
      </x:c>
      <x:c r="C11" s="227" t="str">
        <x:v>Penyediaan Akomodasi dan Makan Minum</x:v>
      </x:c>
      <x:c r="D11" s="235" t="str"/>
      <x:c r="E11" s="235"/>
      <x:c r="F11" s="235"/>
      <x:c r="G11" s="235"/>
      <x:c r="H11" s="308" t="str">
        <x:f>IF(OR(E11="",F11="",G11="",F11=0),"",E11/F11*G11)</x:f>
      </x:c>
      <x:c r="I11" s="314" t="str"/>
      <x:c r="J11" s="314"/>
      <x:c r="K11" s="235" t="str"/>
      <x:c r="L11" s="235" t="str">
        <x:v>UNKNOWN</x:v>
      </x:c>
      <x:c r="M11" s="235" t="str">
        <x:v>PENDING</x:v>
      </x:c>
      <x:c r="N11" s="297" t="str">
        <x:v>Opsional; tidak masuk pembobotan IKOS.</x:v>
      </x:c>
    </x:row>
    <x:row r="12">
      <x:c r="A12" s="226" t="str">
        <x:v>Tier A</x:v>
      </x:c>
      <x:c r="B12" s="227" t="str">
        <x:v>S11</x:v>
      </x:c>
      <x:c r="C12" s="227" t="str">
        <x:v>Aktivitas Jasa Lainnya</x:v>
      </x:c>
      <x:c r="D12" s="235" t="str"/>
      <x:c r="E12" s="235"/>
      <x:c r="F12" s="235"/>
      <x:c r="G12" s="235"/>
      <x:c r="H12" s="308" t="str">
        <x:f>IF(OR(E12="",F12="",G12="",F12=0),"",E12/F12*G12)</x:f>
      </x:c>
      <x:c r="I12" s="314" t="str"/>
      <x:c r="J12" s="314"/>
      <x:c r="K12" s="235" t="str"/>
      <x:c r="L12" s="235" t="str">
        <x:v>UNKNOWN</x:v>
      </x:c>
      <x:c r="M12" s="235" t="str">
        <x:v>PENDING</x:v>
      </x:c>
      <x:c r="N12" s="297" t="str">
        <x:v>Opsional; tidak masuk pembobotan IKOS.</x:v>
      </x:c>
    </x:row>
    <x:row r="13">
      <x:c r="A13" s="226" t="str">
        <x:v>Tier B</x:v>
      </x:c>
      <x:c r="B13" s="227" t="str">
        <x:v>B1</x:v>
      </x:c>
      <x:c r="C13" s="227" t="str">
        <x:v>Industri Pengolahan (Gabungan S1–S6)</x:v>
      </x:c>
      <x:c r="D13" s="235" t="str"/>
      <x:c r="E13" s="235"/>
      <x:c r="F13" s="235"/>
      <x:c r="G13" s="235"/>
      <x:c r="H13" s="308" t="str">
        <x:f>IF(OR(E13="",F13="",G13="",F13=0),"",E13/F13*G13)</x:f>
      </x:c>
      <x:c r="I13" s="314" t="str"/>
      <x:c r="J13" s="314"/>
      <x:c r="K13" s="235" t="str"/>
      <x:c r="L13" s="235" t="str">
        <x:v>UNKNOWN</x:v>
      </x:c>
      <x:c r="M13" s="235" t="str">
        <x:v>PENDING</x:v>
      </x:c>
      <x:c r="N13" s="297" t="str">
        <x:v>Opsional; tidak masuk pembobotan IKOS.</x:v>
      </x:c>
    </x:row>
    <x:row r="14">
      <x:c r="A14" s="226" t="str">
        <x:v>Tier B</x:v>
      </x:c>
      <x:c r="B14" s="227" t="str">
        <x:v>B2</x:v>
      </x:c>
      <x:c r="C14" s="227" t="str">
        <x:v>Pertanian, Kehutanan, dan Perikanan</x:v>
      </x:c>
      <x:c r="D14" s="235" t="str"/>
      <x:c r="E14" s="235"/>
      <x:c r="F14" s="235"/>
      <x:c r="G14" s="235"/>
      <x:c r="H14" s="308" t="str">
        <x:f>IF(OR(E14="",F14="",G14="",F14=0),"",E14/F14*G14)</x:f>
      </x:c>
      <x:c r="I14" s="314" t="str"/>
      <x:c r="J14" s="314"/>
      <x:c r="K14" s="235" t="str"/>
      <x:c r="L14" s="235" t="str">
        <x:v>UNKNOWN</x:v>
      </x:c>
      <x:c r="M14" s="235" t="str">
        <x:v>PENDING</x:v>
      </x:c>
      <x:c r="N14" s="297" t="str">
        <x:v>Opsional; tidak masuk pembobotan IKOS.</x:v>
      </x:c>
    </x:row>
    <x:row r="15">
      <x:c r="A15" s="226" t="str">
        <x:v>Tier B</x:v>
      </x:c>
      <x:c r="B15" s="227" t="str">
        <x:v>B3</x:v>
      </x:c>
      <x:c r="C15" s="227" t="str">
        <x:v>Perdagangan Besar dan Eceran</x:v>
      </x:c>
      <x:c r="D15" s="235" t="str"/>
      <x:c r="E15" s="235"/>
      <x:c r="F15" s="235"/>
      <x:c r="G15" s="235"/>
      <x:c r="H15" s="308" t="str">
        <x:f>IF(OR(E15="",F15="",G15="",F15=0),"",E15/F15*G15)</x:f>
      </x:c>
      <x:c r="I15" s="314" t="str"/>
      <x:c r="J15" s="314"/>
      <x:c r="K15" s="235" t="str"/>
      <x:c r="L15" s="235" t="str">
        <x:v>UNKNOWN</x:v>
      </x:c>
      <x:c r="M15" s="235" t="str">
        <x:v>PENDING</x:v>
      </x:c>
      <x:c r="N15" s="297" t="str">
        <x:v>Opsional; tidak masuk pembobotan IKOS.</x:v>
      </x:c>
    </x:row>
    <x:row r="16">
      <x:c r="A16" s="226" t="str">
        <x:v>Tier B</x:v>
      </x:c>
      <x:c r="B16" s="227" t="str">
        <x:v>B4</x:v>
      </x:c>
      <x:c r="C16" s="227" t="str">
        <x:v>Transportasi dan Pergudangan</x:v>
      </x:c>
      <x:c r="D16" s="235" t="str"/>
      <x:c r="E16" s="235"/>
      <x:c r="F16" s="235"/>
      <x:c r="G16" s="235"/>
      <x:c r="H16" s="308" t="str">
        <x:f>IF(OR(E16="",F16="",G16="",F16=0),"",E16/F16*G16)</x:f>
      </x:c>
      <x:c r="I16" s="314" t="str"/>
      <x:c r="J16" s="314"/>
      <x:c r="K16" s="235" t="str"/>
      <x:c r="L16" s="235" t="str">
        <x:v>UNKNOWN</x:v>
      </x:c>
      <x:c r="M16" s="235" t="str">
        <x:v>PENDING</x:v>
      </x:c>
      <x:c r="N16" s="297" t="str">
        <x:v>Opsional; tidak masuk pembobotan IKOS.</x:v>
      </x:c>
    </x:row>
    <x:row r="17">
      <x:c r="A17" s="226" t="str">
        <x:v>Tier B</x:v>
      </x:c>
      <x:c r="B17" s="227" t="str">
        <x:v>B5</x:v>
      </x:c>
      <x:c r="C17" s="227" t="str">
        <x:v>Penyediaan Akomodasi dan Makan Minum</x:v>
      </x:c>
      <x:c r="D17" s="235" t="str"/>
      <x:c r="E17" s="235"/>
      <x:c r="F17" s="235"/>
      <x:c r="G17" s="235"/>
      <x:c r="H17" s="308" t="str">
        <x:f>IF(OR(E17="",F17="",G17="",F17=0),"",E17/F17*G17)</x:f>
      </x:c>
      <x:c r="I17" s="314" t="str"/>
      <x:c r="J17" s="314"/>
      <x:c r="K17" s="235" t="str"/>
      <x:c r="L17" s="235" t="str">
        <x:v>UNKNOWN</x:v>
      </x:c>
      <x:c r="M17" s="235" t="str">
        <x:v>PENDING</x:v>
      </x:c>
      <x:c r="N17" s="297" t="str">
        <x:v>Opsional; tidak masuk pembobotan IKOS.</x:v>
      </x:c>
    </x:row>
    <x:row r="18">
      <x:c r="A18" s="229" t="str">
        <x:v>Tier B</x:v>
      </x:c>
      <x:c r="B18" s="230" t="str">
        <x:v>B6</x:v>
      </x:c>
      <x:c r="C18" s="230" t="str">
        <x:v>Aktivitas Jasa Lainnya</x:v>
      </x:c>
      <x:c r="D18" s="287" t="str"/>
      <x:c r="E18" s="287"/>
      <x:c r="F18" s="287"/>
      <x:c r="G18" s="287"/>
      <x:c r="H18" s="311" t="str">
        <x:f>IF(OR(E18="",F18="",G18="",F18=0),"",E18/F18*G18)</x:f>
      </x:c>
      <x:c r="I18" s="316" t="str"/>
      <x:c r="J18" s="316"/>
      <x:c r="K18" s="287" t="str"/>
      <x:c r="L18" s="287" t="str">
        <x:v>UNKNOWN</x:v>
      </x:c>
      <x:c r="M18" s="287" t="str">
        <x:v>PENDING</x:v>
      </x:c>
      <x:c r="N18" s="302" t="str">
        <x:v>Opsional; tidak masuk pembobotan IKOS.</x:v>
      </x:c>
    </x:row>
  </x:sheetData>
  <x:conditionalFormatting sqref="L2:M18">
    <x:cfRule type="containsText" dxfId="65" priority="1" operator="containsText" text="BLOCKED"/>
    <x:cfRule type="containsText" dxfId="66" priority="2" operator="containsText" text="ERROR"/>
    <x:cfRule type="containsText" dxfId="67" priority="3" operator="containsText" text="READY"/>
    <x:cfRule type="containsText" dxfId="68" priority="4" operator="containsText" text="VERIFIED"/>
    <x:cfRule type="containsText" dxfId="69" priority="5" operator="containsText" text="PENDING"/>
  </x:conditionalFormatting>
  <x:dataValidations count="3">
    <x:dataValidation type="list" sqref="L2:L18">
      <x:formula1>"VERIFIED,LIKELY,UNKNOWN,MISSING"</x:formula1>
    </x:dataValidation>
    <x:dataValidation type="list" sqref="M2:M18">
      <x:formula1>"PENDING,VERIFIED,NOT_APPLICABLE,REJECTED"</x:formula1>
    </x:dataValidation>
    <x:dataValidation type="decimal" operator="between" sqref="J2:J18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184bbb64cf45d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8" hidden="0" customWidth="1"/>
    <x:col min="4" max="4" width="38" hidden="0" customWidth="1"/>
    <x:col min="5" max="5" width="18" hidden="0" customWidth="1"/>
    <x:col min="6" max="6" width="20" hidden="0" customWidth="1"/>
    <x:col min="7" max="7" width="16" hidden="0" customWidth="1"/>
    <x:col min="8" max="8" width="48" hidden="0" customWidth="1"/>
    <x:col min="9" max="9" width="28" hidden="0" customWidth="1"/>
  </x:cols>
  <x:sheetData>
    <x:row r="1" ht="34" customHeight="1">
      <x:c r="A1" s="220" t="str">
        <x:v>check_id</x:v>
      </x:c>
      <x:c r="B1" s="221" t="str">
        <x:v>stage</x:v>
      </x:c>
      <x:c r="C1" s="221" t="str">
        <x:v>check_description</x:v>
      </x:c>
      <x:c r="D1" s="221" t="str">
        <x:v>expected</x:v>
      </x:c>
      <x:c r="E1" s="221" t="str">
        <x:v>actual</x:v>
      </x:c>
      <x:c r="F1" s="221" t="str">
        <x:v>severity</x:v>
      </x:c>
      <x:c r="G1" s="221" t="str">
        <x:v>status</x:v>
      </x:c>
      <x:c r="H1" s="221" t="str">
        <x:v>remediation</x:v>
      </x:c>
      <x:c r="I1" s="222" t="str">
        <x:v>notes</x:v>
      </x:c>
    </x:row>
    <x:row r="2">
      <x:c r="A2" s="223" t="str">
        <x:v>QA01</x:v>
      </x:c>
      <x:c r="B2" s="224" t="str">
        <x:v>Control</x:v>
      </x:c>
      <x:c r="C2" s="224" t="str">
        <x:v>Tier analisis sudah dipilih</x:v>
      </x:c>
      <x:c r="D2" s="224" t="str">
        <x:v>Tier A atau Tier B</x:v>
      </x:c>
      <x:c r="E2" s="284" t="str">
        <x:f>'00_README'!$B$13</x:f>
        <x:v>UNRESOLVED</x:v>
      </x:c>
      <x:c r="F2" s="224" t="str">
        <x:v>CRITICAL</x:v>
      </x:c>
      <x:c r="G2" s="284" t="str">
        <x:f>IF(OR(E2="Tier A",E2="Tier B"),"PASS","BLOCKED")</x:f>
        <x:v>BLOCKED</x:v>
      </x:c>
      <x:c r="H2" s="224" t="str">
        <x:v>Putuskan berdasarkan rincian KBLI/KBJI yang benar-benar tersedia.</x:v>
      </x:c>
      <x:c r="I2" s="225" t="str"/>
    </x:row>
    <x:row r="3">
      <x:c r="A3" s="226" t="str">
        <x:v>QA02</x:v>
      </x:c>
      <x:c r="B3" s="227" t="str">
        <x:v>Sector master</x:v>
      </x:c>
      <x:c r="C3" s="227" t="str">
        <x:v>Jumlah sektor aktif cocok dengan konfigurasi</x:v>
      </x:c>
      <x:c r="D3" s="227" t="str">
        <x:v>Expected N</x:v>
      </x:c>
      <x:c r="E3" s="233" t="n">
        <x:f>COUNTIF('02_SECTOR_MASTER'!$E$2:$E$18,"ACTIVE")</x:f>
        <x:v>0</x:v>
      </x:c>
      <x:c r="F3" s="227" t="str">
        <x:v>CRITICAL</x:v>
      </x:c>
      <x:c r="G3" s="233" t="str">
        <x:f>IF('00_README'!$B$14="","BLOCKED",IF(E3='00_README'!$B$14,"PASS","ERROR"))</x:f>
        <x:v>BLOCKED</x:v>
      </x:c>
      <x:c r="H3" s="227" t="str">
        <x:v>Perbaiki tier/sector master.</x:v>
      </x:c>
      <x:c r="I3" s="228" t="str"/>
    </x:row>
    <x:row r="4">
      <x:c r="A4" s="226" t="str">
        <x:v>QA03</x:v>
      </x:c>
      <x:c r="B4" s="227" t="str">
        <x:v>Sakernas</x:v>
      </x:c>
      <x:c r="C4" s="227" t="str">
        <x:v>Record agregat terverifikasi tersedia</x:v>
      </x:c>
      <x:c r="D4" s="227" t="str">
        <x:v>&gt;0</x:v>
      </x:c>
      <x:c r="E4" s="233" t="n">
        <x:f>COUNTIF('04_SAKERNAS_AGG'!$N$2:$N$301,"VERIFIED")</x:f>
        <x:v>66</x:v>
      </x:c>
      <x:c r="F4" s="227" t="str">
        <x:v>CRITICAL</x:v>
      </x:c>
      <x:c r="G4" s="233" t="str">
        <x:f>IF(E4&gt;0,"PASS","BLOCKED")</x:f>
        <x:v>PASS</x:v>
      </x:c>
      <x:c r="H4" s="227" t="str">
        <x:v>Dapatkan microdata/tabulasi BPS dan validasi bidang wajib.</x:v>
      </x:c>
      <x:c r="I4" s="228" t="str"/>
    </x:row>
    <x:row r="5">
      <x:c r="A5" s="226" t="str">
        <x:v>QA04</x:v>
      </x:c>
      <x:c r="B5" s="227" t="str">
        <x:v>Crosswalk</x:v>
      </x:c>
      <x:c r="C5" s="227" t="str">
        <x:v>Tidak ada error jumlah share sektor</x:v>
      </x:c>
      <x:c r="D5" s="227" t="str">
        <x:v>0 error</x:v>
      </x:c>
      <x:c r="E5" s="233" t="n">
        <x:f>COUNTIF('05_SECTOR_OCC_CROSSWALK'!$T$2:$T$301,"ERROR_SHARE")</x:f>
        <x:v>0</x:v>
      </x:c>
      <x:c r="F5" s="227" t="str">
        <x:v>CRITICAL</x:v>
      </x:c>
      <x:c r="G5" s="233" t="str">
        <x:f>IF(COUNTIF('05_SECTOR_OCC_CROSSWALK'!$B$2:$B$301,"&lt;&gt;")=0,"BLOCKED",IF(E5=0,"PASS","ERROR"))</x:f>
        <x:v>BLOCKED</x:v>
      </x:c>
      <x:c r="H5" s="227" t="str">
        <x:v>Perbaiki allocation share atau duplikasi okupasi.</x:v>
      </x:c>
      <x:c r="I5" s="228" t="str"/>
    </x:row>
    <x:row r="6">
      <x:c r="A6" s="226" t="str">
        <x:v>QA05</x:v>
      </x:c>
      <x:c r="B6" s="227" t="str">
        <x:v>Raw indicators</x:v>
      </x:c>
      <x:c r="C6" s="227" t="str">
        <x:v>X1 lengkap untuk semua sektor aktif</x:v>
      </x:c>
      <x:c r="D6" s="227" t="str">
        <x:v>Expected N</x:v>
      </x:c>
      <x:c r="E6" s="233" t="n">
        <x:f>COUNTIFS('06_INDICATORS_RAW'!$A$2:$A$18,'00_README'!$B$13,'06_INDICATORS_RAW'!$D$2:$D$18,"&gt;=0",'06_INDICATORS_RAW'!$G$2:$G$18,"VERIFIED")</x:f>
        <x:v>0</x:v>
      </x:c>
      <x:c r="F6" s="227" t="str">
        <x:v>CRITICAL</x:v>
      </x:c>
      <x:c r="G6" s="233" t="str">
        <x:f>IF('00_README'!$B$14="","BLOCKED",IF(E6='00_README'!$B$14,"PASS","BLOCKED"))</x:f>
        <x:v>BLOCKED</x:v>
      </x:c>
      <x:c r="H6" s="227" t="str">
        <x:v>Lengkapi pendidikan dan bobot.</x:v>
      </x:c>
      <x:c r="I6" s="228" t="str"/>
    </x:row>
    <x:row r="7">
      <x:c r="A7" s="226" t="str">
        <x:v>QA06</x:v>
      </x:c>
      <x:c r="B7" s="227" t="str">
        <x:v>Raw indicators</x:v>
      </x:c>
      <x:c r="C7" s="227" t="str">
        <x:v>X2 lengkap untuk semua sektor aktif</x:v>
      </x:c>
      <x:c r="D7" s="227" t="str">
        <x:v>Expected N</x:v>
      </x:c>
      <x:c r="E7" s="233" t="n">
        <x:f>COUNTIFS('06_INDICATORS_RAW'!$A$2:$A$18,'00_README'!$B$13,'06_INDICATORS_RAW'!$I$2:$I$18,"&gt;=0",'06_INDICATORS_RAW'!$K$2:$K$18,"VERIFIED")</x:f>
        <x:v>0</x:v>
      </x:c>
      <x:c r="F7" s="227" t="str">
        <x:v>CRITICAL</x:v>
      </x:c>
      <x:c r="G7" s="233" t="str">
        <x:f>IF('00_README'!$B$14="","BLOCKED",IF(E7='00_README'!$B$14,"PASS","BLOCKED"))</x:f>
        <x:v>BLOCKED</x:v>
      </x:c>
      <x:c r="H7" s="227" t="str">
        <x:v>Lengkapi lookup risiko dan coverage = 1.</x:v>
      </x:c>
      <x:c r="I7" s="228" t="str"/>
    </x:row>
    <x:row r="8">
      <x:c r="A8" s="226" t="str">
        <x:v>QA07</x:v>
      </x:c>
      <x:c r="B8" s="227" t="str">
        <x:v>Raw indicators</x:v>
      </x:c>
      <x:c r="C8" s="227" t="str">
        <x:v>X3 lengkap untuk semua sektor aktif</x:v>
      </x:c>
      <x:c r="D8" s="227" t="str">
        <x:v>Expected N</x:v>
      </x:c>
      <x:c r="E8" s="233" t="n">
        <x:f>COUNTIFS('06_INDICATORS_RAW'!$A$2:$A$18,'00_README'!$B$13,'06_INDICATORS_RAW'!$M$2:$M$18,"&gt;=0",'06_INDICATORS_RAW'!$O$2:$O$18,"VERIFIED")</x:f>
        <x:v>0</x:v>
      </x:c>
      <x:c r="F8" s="227" t="str">
        <x:v>CRITICAL</x:v>
      </x:c>
      <x:c r="G8" s="233" t="str">
        <x:f>IF('00_README'!$B$14="","BLOCKED",IF(E8='00_README'!$B$14,"PASS","BLOCKED"))</x:f>
        <x:v>BLOCKED</x:v>
      </x:c>
      <x:c r="H8" s="227" t="str">
        <x:v>Lengkapi lookup GenAI dan coverage = 1.</x:v>
      </x:c>
      <x:c r="I8" s="228" t="str"/>
    </x:row>
    <x:row r="9">
      <x:c r="A9" s="226" t="str">
        <x:v>QA08</x:v>
      </x:c>
      <x:c r="B9" s="227" t="str">
        <x:v>Normalization</x:v>
      </x:c>
      <x:c r="C9" s="227" t="str">
        <x:v>Tidak ada nilai di luar goalpost</x:v>
      </x:c>
      <x:c r="D9" s="227" t="str">
        <x:v>0 error</x:v>
      </x:c>
      <x:c r="E9" s="233" t="n">
        <x:f>COUNTIF('07_NORMALIZED'!$Q$2:$Q$18,"ERROR_RANGE")</x:f>
        <x:v>0</x:v>
      </x:c>
      <x:c r="F9" s="227" t="str">
        <x:v>CRITICAL</x:v>
      </x:c>
      <x:c r="G9" s="233" t="str">
        <x:f>IF('00_README'!$B$14="","BLOCKED",IF(COUNTIF('07_NORMALIZED'!$P$2:$P$18,1)=0,"BLOCKED",IF(E9=0,"PASS","ERROR")))</x:f>
        <x:v>BLOCKED</x:v>
      </x:c>
      <x:c r="H9" s="227" t="str">
        <x:v>Periksa data mentah; jangan clamp diam-diam.</x:v>
      </x:c>
      <x:c r="I9" s="228" t="str"/>
    </x:row>
    <x:row r="10">
      <x:c r="A10" s="226" t="str">
        <x:v>QA09</x:v>
      </x:c>
      <x:c r="B10" s="227" t="str">
        <x:v>Weighting</x:v>
      </x:c>
      <x:c r="C10" s="227" t="str">
        <x:v>Jumlah bobot entropy = 1</x:v>
      </x:c>
      <x:c r="D10" s="227" t="str">
        <x:v>1 ± 0.000001</x:v>
      </x:c>
      <x:c r="E10" s="233" t="n">
        <x:f>'08_WEIGHTS'!I2</x:f>
        <x:v>0</x:v>
      </x:c>
      <x:c r="F10" s="227" t="str">
        <x:v>CRITICAL</x:v>
      </x:c>
      <x:c r="G10" s="233" t="str">
        <x:f>IF(E10="","BLOCKED",IF(ABS(E10-1)&lt;=0.000001,"PASS","ERROR"))</x:f>
        <x:v>BLOCKED</x:v>
      </x:c>
      <x:c r="H10" s="227" t="str">
        <x:v>Periksa cohort lengkap atau zero diversification.</x:v>
      </x:c>
      <x:c r="I10" s="228" t="str"/>
    </x:row>
    <x:row r="11">
      <x:c r="A11" s="226" t="str">
        <x:v>QA10</x:v>
      </x:c>
      <x:c r="B11" s="227" t="str">
        <x:v>Results</x:v>
      </x:c>
      <x:c r="C11" s="227" t="str">
        <x:v>Skor siap untuk semua sektor aktif</x:v>
      </x:c>
      <x:c r="D11" s="227" t="str">
        <x:v>Expected N</x:v>
      </x:c>
      <x:c r="E11" s="233" t="n">
        <x:f>COUNTIFS('09_IKOS_SCORE'!$A$2:$A$18,'00_README'!$B$13,'09_IKOS_SCORE'!$U$2:$U$18,"READY")</x:f>
        <x:v>0</x:v>
      </x:c>
      <x:c r="F11" s="227" t="str">
        <x:v>CRITICAL</x:v>
      </x:c>
      <x:c r="G11" s="233" t="str">
        <x:f>IF('00_README'!$B$14="","BLOCKED",IF(E11='00_README'!$B$14,"PASS","BLOCKED"))</x:f>
        <x:v>BLOCKED</x:v>
      </x:c>
      <x:c r="H11" s="227" t="str">
        <x:v>Selesaikan semua check sebelumnya.</x:v>
      </x:c>
      <x:c r="I11" s="228" t="str"/>
    </x:row>
    <x:row r="12">
      <x:c r="A12" s="226" t="str">
        <x:v>QA11</x:v>
      </x:c>
      <x:c r="B12" s="227" t="str">
        <x:v>Privacy</x:v>
      </x:c>
      <x:c r="C12" s="227" t="str">
        <x:v>Tidak ada pengenal pribadi di workbook</x:v>
      </x:c>
      <x:c r="D12" s="227" t="str">
        <x:v>0 identifier</x:v>
      </x:c>
      <x:c r="E12" s="227" t="str">
        <x:v>MANUAL CHECK</x:v>
      </x:c>
      <x:c r="F12" s="227" t="str">
        <x:v>CRITICAL</x:v>
      </x:c>
      <x:c r="G12" s="227" t="str">
        <x:v>MANUAL</x:v>
      </x:c>
      <x:c r="H12" s="227" t="str">
        <x:v>Hapus nama, NIK, alamat, dan identifier langsung.</x:v>
      </x:c>
      <x:c r="I12" s="228" t="str">
        <x:v>Wajib diperiksa oleh reviewer.</x:v>
      </x:c>
    </x:row>
    <x:row r="13">
      <x:c r="A13" s="229" t="str">
        <x:v>QA12</x:v>
      </x:c>
      <x:c r="B13" s="230" t="str">
        <x:v>Deadline</x:v>
      </x:c>
      <x:c r="C13" s="230" t="str">
        <x:v>Data gate belum melewati batas internal</x:v>
      </x:c>
      <x:c r="D13" s="230" t="str">
        <x:v>≤ 18 Jul 2026</x:v>
      </x:c>
      <x:c r="E13" s="283" t="n">
        <x:v>46223</x:v>
      </x:c>
      <x:c r="F13" s="230" t="str">
        <x:v>HIGH</x:v>
      </x:c>
      <x:c r="G13" s="230" t="str">
        <x:v>OVERDUE</x:v>
      </x:c>
      <x:c r="H13" s="230" t="str">
        <x:v>Eskalasi pertanyaan akses ke BPS hari ini.</x:v>
      </x:c>
      <x:c r="I13" s="231" t="str"/>
    </x:row>
    <x:row r="14">
      <x:c r="A14" s="257"/>
      <x:c r="B14" s="257"/>
      <x:c r="C14" s="257"/>
      <x:c r="D14" s="257"/>
      <x:c r="E14" s="257"/>
      <x:c r="F14" s="257"/>
      <x:c r="G14" s="257"/>
      <x:c r="H14" s="257"/>
      <x:c r="I14" s="257"/>
    </x:row>
    <x:row r="15">
      <x:c r="A15" s="257"/>
      <x:c r="B15" s="257"/>
      <x:c r="C15" s="257"/>
      <x:c r="D15" s="257"/>
      <x:c r="E15" s="257"/>
      <x:c r="F15" s="257"/>
      <x:c r="G15" s="257"/>
      <x:c r="H15" s="257"/>
      <x:c r="I15" s="257"/>
    </x:row>
    <x:row r="16" ht="34" customHeight="1">
      <x:c r="A16" s="258" t="str">
        <x:v>Blocker</x:v>
      </x:c>
      <x:c r="B16" s="259" t="str">
        <x:v>Jenis</x:v>
      </x:c>
      <x:c r="C16" s="259" t="str">
        <x:v>Masalah</x:v>
      </x:c>
      <x:c r="D16" s="259" t="str">
        <x:v>Dampak</x:v>
      </x:c>
      <x:c r="E16" s="259" t="str">
        <x:v>Status</x:v>
      </x:c>
      <x:c r="F16" s="259" t="str">
        <x:v>Owner</x:v>
      </x:c>
      <x:c r="G16" s="259" t="str">
        <x:v>Batas</x:v>
      </x:c>
      <x:c r="H16" s="259" t="str">
        <x:v>Tindakan</x:v>
      </x:c>
      <x:c r="I16" s="260" t="str">
        <x:v>Bukti</x:v>
      </x:c>
    </x:row>
    <x:row r="17">
      <x:c r="A17" s="223" t="str">
        <x:v>B01</x:v>
      </x:c>
      <x:c r="B17" s="224" t="str">
        <x:v>Spec conflict</x:v>
      </x:c>
      <x:c r="C17" s="224" t="str">
        <x:v>Tier B disebut 7 sektor tetapi enumerasi hanya 6.</x:v>
      </x:c>
      <x:c r="D17" s="224" t="str">
        <x:v>N, kategori, dan ranking tidak stabil.</x:v>
      </x:c>
      <x:c r="E17" s="224" t="str">
        <x:v>BLOCKED</x:v>
      </x:c>
      <x:c r="F17" s="224" t="str">
        <x:v>Tim metode</x:v>
      </x:c>
      <x:c r="G17" s="280" t="n">
        <x:v>46224</x:v>
      </x:c>
      <x:c r="H17" s="224" t="str">
        <x:v>Putuskan struktur dan revisi semua dokumen.</x:v>
      </x:c>
      <x:c r="I17" s="225" t="str">
        <x:v>12_DECISION_LOG D001</x:v>
      </x:c>
    </x:row>
    <x:row r="18">
      <x:c r="A18" s="226" t="str">
        <x:v>B02</x:v>
      </x:c>
      <x:c r="B18" s="227" t="str">
        <x:v>Data feasibility</x:v>
      </x:c>
      <x:c r="C18" s="227" t="str">
        <x:v>Tier B tetap membutuhkan komposisi KBJI dalam sektor.</x:v>
      </x:c>
      <x:c r="D18" s="227" t="str">
        <x:v>X2 dan X3 tidak dapat dihitung tanpa crosswalk.</x:v>
      </x:c>
      <x:c r="E18" s="227" t="str">
        <x:v>BLOCKED</x:v>
      </x:c>
      <x:c r="F18" s="227" t="str">
        <x:v>Tim data</x:v>
      </x:c>
      <x:c r="G18" s="236" t="n">
        <x:v>46224</x:v>
      </x:c>
      <x:c r="H18" s="227" t="str">
        <x:v>Konfirmasi rincian file BPS atau minta tabulasi tertimbang.</x:v>
      </x:c>
      <x:c r="I18" s="228" t="str">
        <x:v>12_DECISION_LOG D002</x:v>
      </x:c>
    </x:row>
    <x:row r="19">
      <x:c r="A19" s="226" t="str">
        <x:v>B03</x:v>
      </x:c>
      <x:c r="B19" s="227" t="str">
        <x:v>Access</x:v>
      </x:c>
      <x:c r="C19" s="227" t="str">
        <x:v>Tidak ada Sakernas rinci/master data di Drive.</x:v>
      </x:c>
      <x:c r="D19" s="227" t="str">
        <x:v>Eksekusi empiris belum dimulai.</x:v>
      </x:c>
      <x:c r="E19" s="227" t="str">
        <x:v>BLOCKED</x:v>
      </x:c>
      <x:c r="F19" s="227" t="str">
        <x:v>Tim data</x:v>
      </x:c>
      <x:c r="G19" s="236" t="n">
        <x:v>46224</x:v>
      </x:c>
      <x:c r="H19" s="227" t="str">
        <x:v>Arsipkan metadata; ajukan pertanyaan/pemesanan bila disetujui.</x:v>
      </x:c>
      <x:c r="I19" s="228" t="str">
        <x:v>01_SOURCE_LOG</x:v>
      </x:c>
    </x:row>
    <x:row r="20">
      <x:c r="A20" s="226" t="str">
        <x:v>B04</x:v>
      </x:c>
      <x:c r="B20" s="227" t="str">
        <x:v>Method</x:v>
      </x:c>
      <x:c r="C20" s="227" t="str">
        <x:v>Bagian 15–29 pada spec berstatus draft.</x:v>
      </x:c>
      <x:c r="D20" s="227" t="str">
        <x:v>Kategori, robustness, dan threshold belum final.</x:v>
      </x:c>
      <x:c r="E20" s="227" t="str">
        <x:v>DRAFT</x:v>
      </x:c>
      <x:c r="F20" s="227" t="str">
        <x:v>Tim metode</x:v>
      </x:c>
      <x:c r="G20" s="236" t="n">
        <x:v>46225</x:v>
      </x:c>
      <x:c r="H20" s="227" t="str">
        <x:v>Validasi dan catat keputusan.</x:v>
      </x:c>
      <x:c r="I20" s="228" t="str">
        <x:v>12_DECISION_LOG D004</x:v>
      </x:c>
    </x:row>
    <x:row r="21">
      <x:c r="A21" s="229" t="str">
        <x:v>B05</x:v>
      </x:c>
      <x:c r="B21" s="230" t="str">
        <x:v>Deadline</x:v>
      </x:c>
      <x:c r="C21" s="230" t="str">
        <x:v>Guidebook memuat 5 vs 10 Agustus.</x:v>
      </x:c>
      <x:c r="D21" s="230" t="str">
        <x:v>Risiko terlambat.</x:v>
      </x:c>
      <x:c r="E21" s="230" t="str">
        <x:v>VERIFY</x:v>
      </x:c>
      <x:c r="F21" s="230" t="str">
        <x:v>Ketua tim</x:v>
      </x:c>
      <x:c r="G21" s="283" t="n">
        <x:v>46223</x:v>
      </x:c>
      <x:c r="H21" s="230" t="str">
        <x:v>Konfirmasi panitia; sementara gunakan 5 Agustus.</x:v>
      </x:c>
      <x:c r="I21" s="231" t="str">
        <x:v>Guidebook</x:v>
      </x:c>
    </x:row>
  </x:sheetData>
  <x:conditionalFormatting sqref="G2:G13">
    <x:cfRule type="containsText" dxfId="75" priority="1" operator="containsText" text="BLOCKED"/>
    <x:cfRule type="containsText" dxfId="76" priority="2" operator="containsText" text="ERROR"/>
    <x:cfRule type="containsText" dxfId="77" priority="3" operator="containsText" text="READY"/>
    <x:cfRule type="containsText" dxfId="78" priority="4" operator="containsText" text="VERIFIED"/>
    <x:cfRule type="containsText" dxfId="79" priority="5" operator="containsText" text="PENDING"/>
  </x:conditionalFormatting>
  <x:conditionalFormatting sqref="E17:E21">
    <x:cfRule type="containsText" dxfId="80" priority="6" operator="containsText" text="BLOCKED"/>
    <x:cfRule type="containsText" dxfId="81" priority="7" operator="containsText" text="ERROR"/>
    <x:cfRule type="containsText" dxfId="82" priority="8" operator="containsText" text="READY"/>
    <x:cfRule type="containsText" dxfId="83" priority="9" operator="containsText" text="VERIFIED"/>
    <x:cfRule type="containsText" dxfId="84" priority="10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ec79c008db5f4c2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38" hidden="0" customWidth="1"/>
    <x:col min="5" max="5" width="18" hidden="0" customWidth="1"/>
    <x:col min="6" max="6" width="48" hidden="0" customWidth="1"/>
    <x:col min="7" max="7" width="18" hidden="0" customWidth="1"/>
    <x:col min="8" max="8" width="16" hidden="0" customWidth="1"/>
    <x:col min="9" max="9" width="34" hidden="0" customWidth="1"/>
    <x:col min="10" max="10" width="34" hidden="0" customWidth="1"/>
    <x:col min="11" max="11" width="34" hidden="0" customWidth="1"/>
  </x:cols>
  <x:sheetData>
    <x:row r="1" ht="34" customHeight="1">
      <x:c r="A1" s="220" t="str">
        <x:v>decision_id</x:v>
      </x:c>
      <x:c r="B1" s="221" t="str">
        <x:v>topic</x:v>
      </x:c>
      <x:c r="C1" s="221" t="str">
        <x:v>issue</x:v>
      </x:c>
      <x:c r="D1" s="221" t="str">
        <x:v>options</x:v>
      </x:c>
      <x:c r="E1" s="221" t="str">
        <x:v>current_status</x:v>
      </x:c>
      <x:c r="F1" s="221" t="str">
        <x:v>recommended_action</x:v>
      </x:c>
      <x:c r="G1" s="221" t="str">
        <x:v>owner</x:v>
      </x:c>
      <x:c r="H1" s="221" t="str">
        <x:v>due_date</x:v>
      </x:c>
      <x:c r="I1" s="221" t="str">
        <x:v>decision</x:v>
      </x:c>
      <x:c r="J1" s="221" t="str">
        <x:v>rationale_evidence</x:v>
      </x:c>
      <x:c r="K1" s="222" t="str">
        <x:v>downstream_impact</x:v>
      </x:c>
    </x:row>
    <x:row r="2">
      <x:c r="A2" s="223" t="str">
        <x:v>D001</x:v>
      </x:c>
      <x:c r="B2" s="224" t="str">
        <x:v>Tier B sector count</x:v>
      </x:c>
      <x:c r="C2" s="224" t="str">
        <x:v>Dokumen menyebut 7; enumerasi menghasilkan 6.</x:v>
      </x:c>
      <x:c r="D2" s="224" t="str">
        <x:v>6 sektor | definisikan sektor ke-7</x:v>
      </x:c>
      <x:c r="E2" s="224" t="str">
        <x:v>BLOCKED</x:v>
      </x:c>
      <x:c r="F2" s="224" t="str">
        <x:v>Gunakan N dinamis; jangan menciptakan sektor ke-7 tanpa dasar.</x:v>
      </x:c>
      <x:c r="G2" s="224" t="str">
        <x:v>Tim metode</x:v>
      </x:c>
      <x:c r="H2" s="280" t="n">
        <x:v>46224</x:v>
      </x:c>
      <x:c r="I2" s="285" t="str"/>
      <x:c r="J2" s="224" t="str">
        <x:v>Spesifikasi Bagian 6</x:v>
      </x:c>
      <x:c r="K2" s="225" t="str">
        <x:v>N, kelompok kategori, entropy</x:v>
      </x:c>
    </x:row>
    <x:row r="3">
      <x:c r="A3" s="226" t="str">
        <x:v>D002</x:v>
      </x:c>
      <x:c r="B3" s="227" t="str">
        <x:v>Crosswalk feasibility</x:v>
      </x:c>
      <x:c r="C3" s="227" t="str">
        <x:v>Tier B tidak menghapus kebutuhan okupasi × sektor.</x:v>
      </x:c>
      <x:c r="D3" s="227" t="str">
        <x:v>Microdata rinci | tabulasi BPS | redesign</x:v>
      </x:c>
      <x:c r="E3" s="227" t="str">
        <x:v>BLOCKED</x:v>
      </x:c>
      <x:c r="F3" s="227" t="str">
        <x:v>Tanyakan BPS tentang KBLI-2 × KBJI-4 + pendidikan + WEIGHT.</x:v>
      </x:c>
      <x:c r="G3" s="227" t="str">
        <x:v>Tim data</x:v>
      </x:c>
      <x:c r="H3" s="236" t="n">
        <x:v>46224</x:v>
      </x:c>
      <x:c r="I3" s="235" t="str"/>
      <x:c r="J3" s="227" t="str">
        <x:v>BPS SILASTIK/layout</x:v>
      </x:c>
      <x:c r="K3" s="228" t="str">
        <x:v>X2 dan X3</x:v>
      </x:c>
    </x:row>
    <x:row r="4">
      <x:c r="A4" s="226" t="str">
        <x:v>D003</x:v>
      </x:c>
      <x:c r="B4" s="227" t="str">
        <x:v>Entropy formula</x:v>
      </x:c>
      <x:c r="C4" s="227" t="str">
        <x:v>Notasi k pada spesifikasi ambigu.</x:v>
      </x:c>
      <x:c r="D4" s="227" t="str">
        <x:v>-ΣpLNp/LN(N) | formulasi lain</x:v>
      </x:c>
      <x:c r="E4" s="227" t="str">
        <x:v>DRAFT</x:v>
      </x:c>
      <x:c r="F4" s="227" t="str">
        <x:v>Kunci formula standar e_j = -ΣpLNp/LN(N).</x:v>
      </x:c>
      <x:c r="G4" s="227" t="str">
        <x:v>Tim metode</x:v>
      </x:c>
      <x:c r="H4" s="236" t="n">
        <x:v>46225</x:v>
      </x:c>
      <x:c r="I4" s="235" t="str"/>
      <x:c r="J4" s="227" t="str">
        <x:v>Spec Bagian 12</x:v>
      </x:c>
      <x:c r="K4" s="228" t="str">
        <x:v>Bobot seluruh indikator</x:v>
      </x:c>
    </x:row>
    <x:row r="5">
      <x:c r="A5" s="226" t="str">
        <x:v>D004</x:v>
      </x:c>
      <x:c r="B5" s="227" t="str">
        <x:v>Sections 15–29</x:v>
      </x:c>
      <x:c r="C5" s="227" t="str">
        <x:v>Ditulis pada file FINAL tetapi diberi label draft.</x:v>
      </x:c>
      <x:c r="D5" s="227" t="str">
        <x:v>Lock | revise | omit</x:v>
      </x:c>
      <x:c r="E5" s="227" t="str">
        <x:v>DRAFT</x:v>
      </x:c>
      <x:c r="F5" s="227" t="str">
        <x:v>Validasi kategori, sensitivitas, robustness, dan aturan kuadran.</x:v>
      </x:c>
      <x:c r="G5" s="227" t="str">
        <x:v>Tim metode</x:v>
      </x:c>
      <x:c r="H5" s="236" t="n">
        <x:v>46225</x:v>
      </x:c>
      <x:c r="I5" s="235" t="str"/>
      <x:c r="J5" s="227" t="str">
        <x:v>07_IKOS_SPECIFICATION_FINAL.md</x:v>
      </x:c>
      <x:c r="K5" s="228" t="str">
        <x:v>Narasi metode dan hasil</x:v>
      </x:c>
    </x:row>
    <x:row r="6">
      <x:c r="A6" s="226" t="str">
        <x:v>D005</x:v>
      </x:c>
      <x:c r="B6" s="227" t="str">
        <x:v>Submission deadline</x:v>
      </x:c>
      <x:c r="C6" s="227" t="str">
        <x:v>Panduan menyebut 5 dan 10 Agustus 2026.</x:v>
      </x:c>
      <x:c r="D6" s="227" t="str">
        <x:v>5 Aug | 10 Aug</x:v>
      </x:c>
      <x:c r="E6" s="227" t="str">
        <x:v>VERIFY</x:v>
      </x:c>
      <x:c r="F6" s="227" t="str">
        <x:v>Gunakan 5 Agustus sampai panitia mengonfirmasi.</x:v>
      </x:c>
      <x:c r="G6" s="227" t="str">
        <x:v>Ketua tim</x:v>
      </x:c>
      <x:c r="H6" s="236" t="n">
        <x:v>46223</x:v>
      </x:c>
      <x:c r="I6" s="235" t="str"/>
      <x:c r="J6" s="227" t="str">
        <x:v>Guidebook</x:v>
      </x:c>
      <x:c r="K6" s="228" t="str">
        <x:v>Jadwal kerja</x:v>
      </x:c>
    </x:row>
    <x:row r="7">
      <x:c r="A7" s="226" t="str">
        <x:v>D006</x:v>
      </x:c>
      <x:c r="B7" s="227" t="str">
        <x:v>Missing deliverables</x:v>
      </x:c>
      <x:c r="C7" s="227" t="str">
        <x:v>SINTA v2 dan snippets integrated diklaim selesai tetapi tidak terlihat.</x:v>
      </x:c>
      <x:c r="D7" s="227" t="str">
        <x:v>Upload | relabel progress</x:v>
      </x:c>
      <x:c r="E7" s="227" t="str">
        <x:v>VERIFY</x:v>
      </x:c>
      <x:c r="F7" s="227" t="str">
        <x:v>Unggah file atau koreksi progress note.</x:v>
      </x:c>
      <x:c r="G7" s="227" t="str">
        <x:v>Tim literatur</x:v>
      </x:c>
      <x:c r="H7" s="236" t="n">
        <x:v>46224</x:v>
      </x:c>
      <x:c r="I7" s="235" t="str"/>
      <x:c r="J7" s="227" t="str">
        <x:v>Project Progress note</x:v>
      </x:c>
      <x:c r="K7" s="228" t="str">
        <x:v>Audit trail referensi</x:v>
      </x:c>
    </x:row>
    <x:row r="8">
      <x:c r="A8" s="226" t="str">
        <x:v>D007</x:v>
      </x:c>
      <x:c r="B8" s="227" t="str">
        <x:v>IKOS name</x:v>
      </x:c>
      <x:c r="C8" s="227" t="str">
        <x:v>Okupasi vs Otomasi muncul tidak konsisten.</x:v>
      </x:c>
      <x:c r="D8" s="227" t="str">
        <x:v>Otomasi | Okupasi</x:v>
      </x:c>
      <x:c r="E8" s="227" t="str">
        <x:v>DRAFT</x:v>
      </x:c>
      <x:c r="F8" s="227" t="str">
        <x:v>Pakai Otomasi agar konsisten dengan core spec, kecuali tim memutuskan lain.</x:v>
      </x:c>
      <x:c r="G8" s="227" t="str">
        <x:v>Tim penulis</x:v>
      </x:c>
      <x:c r="H8" s="236" t="n">
        <x:v>46224</x:v>
      </x:c>
      <x:c r="I8" s="235" t="str"/>
      <x:c r="J8" s="227" t="str">
        <x:v>Dokumen SINTA vs core spec</x:v>
      </x:c>
      <x:c r="K8" s="228" t="str">
        <x:v>Judul dan definisi</x:v>
      </x:c>
    </x:row>
    <x:row r="9">
      <x:c r="A9" s="226" t="str">
        <x:v>D008</x:v>
      </x:c>
      <x:c r="B9" s="227" t="str">
        <x:v>Author order</x:v>
      </x:c>
      <x:c r="C9" s="227" t="str">
        <x:v>Urutan penulis referensi Asy-Syifa &amp; Wahyuni vs sebaliknya.</x:v>
      </x:c>
      <x:c r="D9" s="227" t="str">
        <x:v>Asy-Syifa first | Wahyuni first</x:v>
      </x:c>
      <x:c r="E9" s="227" t="str">
        <x:v>VERIFY</x:v>
      </x:c>
      <x:c r="F9" s="227" t="str">
        <x:v>Verifikasi sumber primer; progress note mengoreksi Asy-Syifa &amp; Wahyuni.</x:v>
      </x:c>
      <x:c r="G9" s="227" t="str">
        <x:v>Tim literatur</x:v>
      </x:c>
      <x:c r="H9" s="236" t="n">
        <x:v>46224</x:v>
      </x:c>
      <x:c r="I9" s="235" t="str"/>
      <x:c r="J9" s="227" t="str">
        <x:v>Progress note</x:v>
      </x:c>
      <x:c r="K9" s="228" t="str">
        <x:v>Daftar pustaka</x:v>
      </x:c>
    </x:row>
    <x:row r="10">
      <x:c r="A10" s="226" t="str">
        <x:v>D009</x:v>
      </x:c>
      <x:c r="B10" s="227" t="str">
        <x:v>Sakernas description</x:v>
      </x:c>
      <x:c r="C10" s="227" t="str">
        <x:v>Panel 2012–2022 vs dua wave 2012/2022 + data training 2024.</x:v>
      </x:c>
      <x:c r="D10" s="227" t="str">
        <x:v>Panel | repeated cross-section</x:v>
      </x:c>
      <x:c r="E10" s="227" t="str">
        <x:v>VERIFY</x:v>
      </x:c>
      <x:c r="F10" s="227" t="str">
        <x:v>Gunakan 2012 + 2022 + training 2024 setelah sumber primer dikonfirmasi.</x:v>
      </x:c>
      <x:c r="G10" s="227" t="str">
        <x:v>Tim literatur</x:v>
      </x:c>
      <x:c r="H10" s="236" t="n">
        <x:v>46224</x:v>
      </x:c>
      <x:c r="I10" s="235" t="str"/>
      <x:c r="J10" s="227" t="str">
        <x:v>Progress note</x:v>
      </x:c>
      <x:c r="K10" s="228" t="str">
        <x:v>Akurasi tinjauan pustaka</x:v>
      </x:c>
    </x:row>
    <x:row r="11">
      <x:c r="A11" s="226" t="str">
        <x:v>D010</x:v>
      </x:c>
      <x:c r="B11" s="227" t="str">
        <x:v>Readiness R1</x:v>
      </x:c>
      <x:c r="C11" s="227" t="str">
        <x:v>Definisi, granularity, dan goalpost belum tersedia.</x:v>
      </x:c>
      <x:c r="D11" s="227" t="str">
        <x:v>BLK per 10k | peserta % | omit</x:v>
      </x:c>
      <x:c r="E11" s="227" t="str">
        <x:v>DRAFT</x:v>
      </x:c>
      <x:c r="F11" s="227" t="str">
        <x:v>Kerjakan paralel; tetap pisahkan dari IKOS dan omit bila tak tersedia.</x:v>
      </x:c>
      <x:c r="G11" s="227" t="str">
        <x:v>Tim data</x:v>
      </x:c>
      <x:c r="H11" s="236" t="n">
        <x:v>46227</x:v>
      </x:c>
      <x:c r="I11" s="235" t="str"/>
      <x:c r="J11" s="227" t="str">
        <x:v>Spec R1</x:v>
      </x:c>
      <x:c r="K11" s="228" t="str">
        <x:v>Kuadran opsional</x:v>
      </x:c>
    </x:row>
    <x:row r="12">
      <x:c r="A12" s="226" t="str">
        <x:v>D011</x:v>
      </x:c>
      <x:c r="B12" s="227" t="str">
        <x:v>Sakernas wave</x:v>
      </x:c>
      <x:c r="C12" s="227" t="str">
        <x:v>Wave final belum dikunci.</x:v>
      </x:c>
      <x:c r="D12" s="227" t="str">
        <x:v>Aug 2025 | wave lain</x:v>
      </x:c>
      <x:c r="E12" s="227" t="str">
        <x:v>DRAFT</x:v>
      </x:c>
      <x:c r="F12" s="227" t="str">
        <x:v>Prioritaskan Aug 2025 karena sumbernya terverifikasi; labeli reference year.</x:v>
      </x:c>
      <x:c r="G12" s="227" t="str">
        <x:v>Tim data</x:v>
      </x:c>
      <x:c r="H12" s="236" t="n">
        <x:v>46224</x:v>
      </x:c>
      <x:c r="I12" s="235" t="str"/>
      <x:c r="J12" s="227" t="str">
        <x:v>BPS source log</x:v>
      </x:c>
      <x:c r="K12" s="228" t="str">
        <x:v>Komparabilitas</x:v>
      </x:c>
    </x:row>
    <x:row r="13">
      <x:c r="A13" s="226" t="str">
        <x:v>D012</x:v>
      </x:c>
      <x:c r="B13" s="227" t="str">
        <x:v>Median ties</x:v>
      </x:c>
      <x:c r="C13" s="227" t="str">
        <x:v>Aturan sektor tepat di median kuadran belum ditetapkan.</x:v>
      </x:c>
      <x:c r="D13" s="227" t="str">
        <x:v>&gt;= high | tie band | manual</x:v>
      </x:c>
      <x:c r="E13" s="227" t="str">
        <x:v>DRAFT</x:v>
      </x:c>
      <x:c r="F13" s="227" t="str">
        <x:v>Kunci sebelum kuadran dipublikasikan.</x:v>
      </x:c>
      <x:c r="G13" s="227" t="str">
        <x:v>Tim metode</x:v>
      </x:c>
      <x:c r="H13" s="236" t="n">
        <x:v>46226</x:v>
      </x:c>
      <x:c r="I13" s="235" t="str"/>
      <x:c r="J13" s="227" t="str">
        <x:v>Spec Bagian 19</x:v>
      </x:c>
      <x:c r="K13" s="228" t="str">
        <x:v>Klasifikasi kuadran</x:v>
      </x:c>
    </x:row>
    <x:row r="14">
      <x:c r="A14" s="226" t="str">
        <x:v>D013</x:v>
      </x:c>
      <x:c r="B14" s="227" t="str">
        <x:v>GenAI ordinal score</x:v>
      </x:c>
      <x:c r="C14" s="227" t="str">
        <x:v>ILO menyediakan enam kategori; spesifikasi meminta skor 0–5.</x:v>
      </x:c>
      <x:c r="D14" s="227" t="str">
        <x:v>Not Exposed=0 hingga Gradient 4=5 | metode lain</x:v>
      </x:c>
      <x:c r="E14" s="227" t="str">
        <x:v>DRAFT</x:v>
      </x:c>
      <x:c r="F14" s="227" t="str">
        <x:v>Validasi transformasi ordinal dan uji sensitivitas terhadap mean asli.</x:v>
      </x:c>
      <x:c r="G14" s="227" t="str">
        <x:v>Tim metode</x:v>
      </x:c>
      <x:c r="H14" s="236" t="n">
        <x:v>46225</x:v>
      </x:c>
      <x:c r="I14" s="235" t="str"/>
      <x:c r="J14" s="227" t="str">
        <x:v>ILO WP140 Annex Table A1</x:v>
      </x:c>
      <x:c r="K14" s="228" t="str">
        <x:v>X3 seluruh okupasi</x:v>
      </x:c>
    </x:row>
    <x:row r="15">
      <x:c r="A15" s="226" t="str">
        <x:v>D014</x:v>
      </x:c>
      <x:c r="B15" s="227" t="str">
        <x:v>ILO occupation count</x:v>
      </x:c>
      <x:c r="C15" s="227" t="str">
        <x:v>Artikel menyebut 436 pekerjaan, tetapi Table A1 online memuat 427 kode unik.</x:v>
      </x:c>
      <x:c r="D15" s="227" t="str">
        <x:v>427 source rows | cari 9 kode yang tidak dinilai</x:v>
      </x:c>
      <x:c r="E15" s="227" t="str">
        <x:v>VERIFY</x:v>
      </x:c>
      <x:c r="F15" s="227" t="str">
        <x:v>Gunakan 427 baris yang benar-benar tercantum dan dokumentasikan coverage.</x:v>
      </x:c>
      <x:c r="G15" s="227" t="str">
        <x:v>Tim data</x:v>
      </x:c>
      <x:c r="H15" s="236" t="n">
        <x:v>46225</x:v>
      </x:c>
      <x:c r="I15" s="235" t="str"/>
      <x:c r="J15" s="227" t="str">
        <x:v>ILO official online annex</x:v>
      </x:c>
      <x:c r="K15" s="228" t="str">
        <x:v>Coverage X3</x:v>
      </x:c>
    </x:row>
    <x:row r="16">
      <x:c r="A16" s="229" t="str">
        <x:v>D015</x:v>
      </x:c>
      <x:c r="B16" s="230" t="str">
        <x:v>Public X1 scope</x:v>
      </x:c>
      <x:c r="C16" s="230" t="str">
        <x:v>BPS Tabel 69 memberi KBLI kategori × pendidikan, bukan KBLI 2-digit.</x:v>
      </x:c>
      <x:c r="D16" s="230" t="str">
        <x:v>Tier B X1 | S7–S11 Tier A | microdata</x:v>
      </x:c>
      <x:c r="E16" s="230" t="str">
        <x:v>LOCKED</x:v>
      </x:c>
      <x:c r="F16" s="230" t="str">
        <x:v>Gunakan untuk X1 Tier B serta S7–S11; jangan pecah manufaktur menjadi S1–S6.</x:v>
      </x:c>
      <x:c r="G16" s="230" t="str">
        <x:v>Tim data</x:v>
      </x:c>
      <x:c r="H16" s="283" t="n">
        <x:v>46223</x:v>
      </x:c>
      <x:c r="I16" s="287" t="str"/>
      <x:c r="J16" s="230" t="str">
        <x:v>BPS Table 69</x:v>
      </x:c>
      <x:c r="K16" s="231" t="str">
        <x:v>Cakupan X1</x:v>
      </x:c>
    </x:row>
  </x:sheetData>
  <x:conditionalFormatting sqref="E2:E16">
    <x:cfRule type="containsText" dxfId="85" priority="1" operator="containsText" text="BLOCKED"/>
    <x:cfRule type="containsText" dxfId="86" priority="2" operator="containsText" text="ERROR"/>
    <x:cfRule type="containsText" dxfId="87" priority="3" operator="containsText" text="READY"/>
    <x:cfRule type="containsText" dxfId="88" priority="4" operator="containsText" text="VERIFIED"/>
    <x:cfRule type="containsText" dxfId="89" priority="5" operator="containsText" text="PENDING"/>
  </x:conditionalFormatting>
  <x:dataValidations count="1">
    <x:dataValidation type="list" sqref="E2:E16">
      <x:formula1>"LOCKED,DRAFT,VERIFY,BLOCKED,SUPERSEDED"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7c3319eef94ff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38" hidden="0" customWidth="1"/>
    <x:col min="7" max="7" width="18" hidden="0" customWidth="1"/>
    <x:col min="8" max="8" width="14" hidden="0" customWidth="1"/>
    <x:col min="9" max="9" width="20" hidden="0" customWidth="1"/>
    <x:col min="10" max="10" width="22" hidden="0" customWidth="1"/>
    <x:col min="11" max="11" width="24" hidden="0" customWidth="1"/>
    <x:col min="12" max="12" width="38" hidden="0" customWidth="1"/>
  </x:cols>
  <x:sheetData>
    <x:row r="1" ht="34" customHeight="1">
      <x:c r="A1" s="220" t="str">
        <x:v>source_id</x:v>
      </x:c>
      <x:c r="B1" s="221" t="str">
        <x:v>data_reference_year</x:v>
      </x:c>
      <x:c r="C1" s="221" t="str">
        <x:v>publication_year</x:v>
      </x:c>
      <x:c r="D1" s="221" t="str">
        <x:v>tier</x:v>
      </x:c>
      <x:c r="E1" s="221" t="str">
        <x:v>sector_id</x:v>
      </x:c>
      <x:c r="F1" s="221" t="str">
        <x:v>sector_name</x:v>
      </x:c>
      <x:c r="G1" s="221" t="str">
        <x:v>indicator_code</x:v>
      </x:c>
      <x:c r="H1" s="221" t="str">
        <x:v>value_pct</x:v>
      </x:c>
      <x:c r="I1" s="221" t="str">
        <x:v>verification_status</x:v>
      </x:c>
      <x:c r="J1" s="221" t="str">
        <x:v>model_use</x:v>
      </x:c>
      <x:c r="K1" s="221" t="str">
        <x:v>evidence</x:v>
      </x:c>
      <x:c r="L1" s="222" t="str">
        <x:v>notes</x:v>
      </x:c>
    </x:row>
    <x:row r="2">
      <x:c r="A2" s="223" t="str">
        <x:v>ILO_AUT16</x:v>
      </x:c>
      <x:c r="B2" s="224" t="n">
        <x:v>2010</x:v>
      </x:c>
      <x:c r="C2" s="224" t="n">
        <x:v>2016</x:v>
      </x:c>
      <x:c r="D2" s="224" t="str">
        <x:v>Tier B</x:v>
      </x:c>
      <x:c r="E2" s="224" t="str">
        <x:v>B2</x:v>
      </x:c>
      <x:c r="F2" s="224" t="str">
        <x:v>Pertanian, Kehutanan, dan Perikanan</x:v>
      </x:c>
      <x:c r="G2" s="224" t="str">
        <x:v>X2_HIST</x:v>
      </x:c>
      <x:c r="H2" s="342" t="n">
        <x:v>50</x:v>
      </x:c>
      <x:c r="I2" s="224" t="str">
        <x:v>VERIFIED</x:v>
      </x:c>
      <x:c r="J2" s="224" t="str">
        <x:v>REFERENCE_ONLY</x:v>
      </x:c>
      <x:c r="K2" s="224" t="str">
        <x:v>Appendix Table A.3</x:v>
      </x:c>
      <x:c r="L2" s="225" t="str">
        <x:v>Tidak mewakili kondisi 2025/2026.</x:v>
      </x:c>
    </x:row>
    <x:row r="3">
      <x:c r="A3" s="226" t="str">
        <x:v>ILO_AUT16</x:v>
      </x:c>
      <x:c r="B3" s="227" t="n">
        <x:v>2010</x:v>
      </x:c>
      <x:c r="C3" s="227" t="n">
        <x:v>2016</x:v>
      </x:c>
      <x:c r="D3" s="227" t="str">
        <x:v>Tier B</x:v>
      </x:c>
      <x:c r="E3" s="227" t="str">
        <x:v>B1</x:v>
      </x:c>
      <x:c r="F3" s="227" t="str">
        <x:v>Industri Pengolahan</x:v>
      </x:c>
      <x:c r="G3" s="227" t="str">
        <x:v>X2_HIST</x:v>
      </x:c>
      <x:c r="H3" s="343" t="n">
        <x:v>55.7</x:v>
      </x:c>
      <x:c r="I3" s="227" t="str">
        <x:v>VERIFIED</x:v>
      </x:c>
      <x:c r="J3" s="227" t="str">
        <x:v>REFERENCE_ONLY</x:v>
      </x:c>
      <x:c r="K3" s="227" t="str">
        <x:v>Appendix Table A.3</x:v>
      </x:c>
      <x:c r="L3" s="228" t="str">
        <x:v>Tidak mewakili kondisi 2025/2026.</x:v>
      </x:c>
    </x:row>
    <x:row r="4">
      <x:c r="A4" s="226" t="str">
        <x:v>ILO_AUT16</x:v>
      </x:c>
      <x:c r="B4" s="227" t="n">
        <x:v>2010</x:v>
      </x:c>
      <x:c r="C4" s="227" t="n">
        <x:v>2016</x:v>
      </x:c>
      <x:c r="D4" s="227" t="str">
        <x:v>Tier B</x:v>
      </x:c>
      <x:c r="E4" s="227" t="str">
        <x:v>B3</x:v>
      </x:c>
      <x:c r="F4" s="227" t="str">
        <x:v>Perdagangan Besar dan Eceran</x:v>
      </x:c>
      <x:c r="G4" s="227" t="str">
        <x:v>X2_HIST</x:v>
      </x:c>
      <x:c r="H4" s="343" t="n">
        <x:v>91.1</x:v>
      </x:c>
      <x:c r="I4" s="227" t="str">
        <x:v>VERIFIED</x:v>
      </x:c>
      <x:c r="J4" s="227" t="str">
        <x:v>REFERENCE_ONLY</x:v>
      </x:c>
      <x:c r="K4" s="227" t="str">
        <x:v>Appendix Table A.3</x:v>
      </x:c>
      <x:c r="L4" s="228" t="str">
        <x:v>Tidak mewakili kondisi 2025/2026.</x:v>
      </x:c>
    </x:row>
    <x:row r="5">
      <x:c r="A5" s="226" t="str">
        <x:v>ILO_AUT16</x:v>
      </x:c>
      <x:c r="B5" s="227" t="n">
        <x:v>2010</x:v>
      </x:c>
      <x:c r="C5" s="227" t="n">
        <x:v>2016</x:v>
      </x:c>
      <x:c r="D5" s="227" t="str">
        <x:v>Tier B</x:v>
      </x:c>
      <x:c r="E5" s="227" t="str">
        <x:v>B4</x:v>
      </x:c>
      <x:c r="F5" s="227" t="str">
        <x:v>Transportasi dan Pergudangan</x:v>
      </x:c>
      <x:c r="G5" s="227" t="str">
        <x:v>X2_HIST</x:v>
      </x:c>
      <x:c r="H5" s="343" t="n">
        <x:v>23.3</x:v>
      </x:c>
      <x:c r="I5" s="227" t="str">
        <x:v>VERIFIED</x:v>
      </x:c>
      <x:c r="J5" s="227" t="str">
        <x:v>REFERENCE_ONLY</x:v>
      </x:c>
      <x:c r="K5" s="227" t="str">
        <x:v>Appendix Table A.3</x:v>
      </x:c>
      <x:c r="L5" s="228" t="str">
        <x:v>Tidak mewakili kondisi 2025/2026.</x:v>
      </x:c>
    </x:row>
    <x:row r="6">
      <x:c r="A6" s="226" t="str">
        <x:v>ILO_AUT16</x:v>
      </x:c>
      <x:c r="B6" s="227" t="n">
        <x:v>2010</x:v>
      </x:c>
      <x:c r="C6" s="227" t="n">
        <x:v>2016</x:v>
      </x:c>
      <x:c r="D6" s="227" t="str">
        <x:v>Tier B</x:v>
      </x:c>
      <x:c r="E6" s="227" t="str">
        <x:v>B5</x:v>
      </x:c>
      <x:c r="F6" s="227" t="str">
        <x:v>Akomodasi dan Makan Minum</x:v>
      </x:c>
      <x:c r="G6" s="227" t="str">
        <x:v>X2_HIST</x:v>
      </x:c>
      <x:c r="H6" s="343" t="n">
        <x:v>77.9</x:v>
      </x:c>
      <x:c r="I6" s="227" t="str">
        <x:v>VERIFIED</x:v>
      </x:c>
      <x:c r="J6" s="227" t="str">
        <x:v>REFERENCE_ONLY</x:v>
      </x:c>
      <x:c r="K6" s="227" t="str">
        <x:v>Appendix Table A.3</x:v>
      </x:c>
      <x:c r="L6" s="228" t="str">
        <x:v>Tidak mewakili kondisi 2025/2026.</x:v>
      </x:c>
    </x:row>
    <x:row r="7">
      <x:c r="A7" s="229" t="str">
        <x:v>ILO_AUT16</x:v>
      </x:c>
      <x:c r="B7" s="230" t="n">
        <x:v>2010</x:v>
      </x:c>
      <x:c r="C7" s="230" t="n">
        <x:v>2016</x:v>
      </x:c>
      <x:c r="D7" s="230" t="str">
        <x:v>Tier B</x:v>
      </x:c>
      <x:c r="E7" s="230" t="str">
        <x:v>B6</x:v>
      </x:c>
      <x:c r="F7" s="230" t="str">
        <x:v>Aktivitas Jasa Lainnya</x:v>
      </x:c>
      <x:c r="G7" s="230" t="str">
        <x:v>X2_HIST</x:v>
      </x:c>
      <x:c r="H7" s="344" t="n">
        <x:v>37</x:v>
      </x:c>
      <x:c r="I7" s="230" t="str">
        <x:v>VERIFIED</x:v>
      </x:c>
      <x:c r="J7" s="230" t="str">
        <x:v>REFERENCE_ONLY</x:v>
      </x:c>
      <x:c r="K7" s="230" t="str">
        <x:v>Appendix Table A.3</x:v>
      </x:c>
      <x:c r="L7" s="231" t="str">
        <x:v>Tidak mewakili kondisi 2025/2026.</x:v>
      </x:c>
    </x:row>
    <x:row r="8">
      <x:c r="A8" s="257"/>
      <x:c r="B8" s="257"/>
      <x:c r="C8" s="257"/>
      <x:c r="D8" s="257"/>
      <x:c r="E8" s="257"/>
      <x:c r="F8" s="257"/>
      <x:c r="G8" s="257"/>
      <x:c r="H8" s="257"/>
      <x:c r="I8" s="257"/>
      <x:c r="J8" s="257"/>
      <x:c r="K8" s="257"/>
      <x:c r="L8" s="257"/>
    </x:row>
    <x:row r="9">
      <x:c r="A9" s="270" t="str">
        <x:v>PENTING: enam nilai di atas adalah benchmark historis berbasis Sakernas Agustus 2010 yang diterbitkan ILO pada 2016. Nilai ini sengaja dipisahkan dan tidak terhubung ke 06_INDICATORS_RAW atau skor IKOS saat ini.</x:v>
      </x:c>
      <x:c r="B9" s="271"/>
      <x:c r="C9" s="271"/>
      <x:c r="D9" s="271"/>
      <x:c r="E9" s="271"/>
      <x:c r="F9" s="271"/>
      <x:c r="G9" s="271"/>
      <x:c r="H9" s="271"/>
      <x:c r="I9" s="271"/>
      <x:c r="J9" s="271"/>
      <x:c r="K9" s="271"/>
      <x:c r="L9" s="272"/>
    </x:row>
    <x:row r="10">
      <x:c r="A10" s="273"/>
      <x:c r="B10" s="274"/>
      <x:c r="C10" s="274"/>
      <x:c r="D10" s="274"/>
      <x:c r="E10" s="274"/>
      <x:c r="F10" s="274"/>
      <x:c r="G10" s="274"/>
      <x:c r="H10" s="274"/>
      <x:c r="I10" s="274"/>
      <x:c r="J10" s="274"/>
      <x:c r="K10" s="274"/>
      <x:c r="L10" s="275"/>
    </x:row>
    <x:row r="11">
      <x:c r="A11" s="276"/>
      <x:c r="B11" s="277"/>
      <x:c r="C11" s="277"/>
      <x:c r="D11" s="277"/>
      <x:c r="E11" s="277"/>
      <x:c r="F11" s="277"/>
      <x:c r="G11" s="277"/>
      <x:c r="H11" s="277"/>
      <x:c r="I11" s="277"/>
      <x:c r="J11" s="277"/>
      <x:c r="K11" s="277"/>
      <x:c r="L11" s="278"/>
    </x:row>
  </x:sheetData>
  <x:mergeCells>
    <x:mergeCell ref="A9:L11"/>
  </x:mergeCells>
  <x:conditionalFormatting sqref="I2:J7">
    <x:cfRule type="containsText" dxfId="90" priority="1" operator="containsText" text="BLOCKED"/>
    <x:cfRule type="containsText" dxfId="91" priority="2" operator="containsText" text="ERROR"/>
    <x:cfRule type="containsText" dxfId="92" priority="3" operator="containsText" text="READY"/>
    <x:cfRule type="containsText" dxfId="93" priority="4" operator="containsText" text="VERIFIED"/>
    <x:cfRule type="containsText" dxfId="94" priority="5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ebf4fa35169343b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2" hidden="0" customWidth="1"/>
    <x:col min="9" max="9" width="20" hidden="0" customWidth="1"/>
    <x:col min="10" max="10" width="18" hidden="0" customWidth="1"/>
    <x:col min="11" max="11" width="18" hidden="0" customWidth="1"/>
    <x:col min="12" max="12" width="20" hidden="0" customWidth="1"/>
    <x:col min="13" max="13" width="34" hidden="0" customWidth="1"/>
    <x:col min="14" max="14" width="20" hidden="0" customWidth="1"/>
    <x:col min="15" max="15" width="48" hidden="0" customWidth="1"/>
  </x:cols>
  <x:sheetData>
    <x:row r="1" ht="34" customHeight="1">
      <x:c r="A1" s="220" t="str">
        <x:v>kbli_category</x:v>
      </x:c>
      <x:c r="B1" s="221" t="str">
        <x:v>sector_name</x:v>
      </x:c>
      <x:c r="C1" s="221" t="str">
        <x:v>sd_ke_bawah</x:v>
      </x:c>
      <x:c r="D1" s="221" t="str">
        <x:v>smp</x:v>
      </x:c>
      <x:c r="E1" s="221" t="str">
        <x:v>sma</x:v>
      </x:c>
      <x:c r="F1" s="221" t="str">
        <x:v>smk</x:v>
      </x:c>
      <x:c r="G1" s="221" t="str">
        <x:v>diploma_1_2_3</x:v>
      </x:c>
      <x:c r="H1" s="221" t="str">
        <x:v>diploma_4_s1_s2_s3</x:v>
      </x:c>
      <x:c r="I1" s="221" t="str">
        <x:v>le_sma_numerator</x:v>
      </x:c>
      <x:c r="J1" s="221" t="str">
        <x:v>total_workers</x:v>
      </x:c>
      <x:c r="K1" s="221" t="str">
        <x:v>X1_pct_le_sma</x:v>
      </x:c>
      <x:c r="L1" s="221" t="str">
        <x:v>source_id</x:v>
      </x:c>
      <x:c r="M1" s="221" t="str">
        <x:v>evidence</x:v>
      </x:c>
      <x:c r="N1" s="221" t="str">
        <x:v>verification_status</x:v>
      </x:c>
      <x:c r="O1" s="222" t="str">
        <x:v>notes</x:v>
      </x:c>
    </x:row>
    <x:row r="2">
      <x:c r="A2" s="345" t="str">
        <x:v>A</x:v>
      </x:c>
      <x:c r="B2" s="284" t="str">
        <x:v>Pertanian, Kehutanan, dan Perikanan</x:v>
      </x:c>
      <x:c r="C2" s="346" t="n">
        <x:v>25170764</x:v>
      </x:c>
      <x:c r="D2" s="346" t="n">
        <x:v>7283567</x:v>
      </x:c>
      <x:c r="E2" s="346" t="n">
        <x:v>5742095</x:v>
      </x:c>
      <x:c r="F2" s="346" t="n">
        <x:v>2163886</x:v>
      </x:c>
      <x:c r="G2" s="346" t="n">
        <x:v>198343</x:v>
      </x:c>
      <x:c r="H2" s="346" t="n">
        <x:v>688462</x:v>
      </x:c>
      <x:c r="I2" s="346" t="n">
        <x:f>SUM(C2:F2)</x:f>
        <x:v>40360312</x:v>
      </x:c>
      <x:c r="J2" s="346" t="n">
        <x:v>41247117</x:v>
      </x:c>
      <x:c r="K2" s="313" t="n">
        <x:f>IFERROR(100*I2/J2,"")</x:f>
        <x:v>97.85001943287334</x:v>
      </x:c>
      <x:c r="L2" s="284" t="str">
        <x:v>BPS_SAK25_PUB</x:v>
      </x:c>
      <x:c r="M2" s="284" t="str">
        <x:v>Tabel 69, halaman buku 103–104; PDF 160–161</x:v>
      </x:c>
      <x:c r="N2" s="284" t="str">
        <x:v>VERIFIED</x:v>
      </x:c>
      <x:c r="O2" s="319" t="str">
        <x:v>Jumlah pekerja tertimbang; X1 = (SD+SMP+SMA+SMK)/total × 100.</x:v>
      </x:c>
    </x:row>
    <x:row r="3">
      <x:c r="A3" s="347" t="str">
        <x:v>B</x:v>
      </x:c>
      <x:c r="B3" s="233" t="str">
        <x:v>Pertambangan dan Penggalian</x:v>
      </x:c>
      <x:c r="C3" s="348" t="n">
        <x:v>594482</x:v>
      </x:c>
      <x:c r="D3" s="348" t="n">
        <x:v>313440</x:v>
      </x:c>
      <x:c r="E3" s="348" t="n">
        <x:v>478069</x:v>
      </x:c>
      <x:c r="F3" s="348" t="n">
        <x:v>205323</x:v>
      </x:c>
      <x:c r="G3" s="348" t="n">
        <x:v>26589</x:v>
      </x:c>
      <x:c r="H3" s="348" t="n">
        <x:v>110911</x:v>
      </x:c>
      <x:c r="I3" s="348" t="n">
        <x:f>SUM(C3:F3)</x:f>
        <x:v>1591314</x:v>
      </x:c>
      <x:c r="J3" s="348" t="n">
        <x:v>1728814</x:v>
      </x:c>
      <x:c r="K3" s="315" t="n">
        <x:f>IFERROR(100*I3/J3,"")</x:f>
        <x:v>92.04657065479572</x:v>
      </x:c>
      <x:c r="L3" s="233" t="str">
        <x:v>BPS_SAK25_PUB</x:v>
      </x:c>
      <x:c r="M3" s="233" t="str">
        <x:v>Tabel 69, halaman buku 103–104; PDF 160–161</x:v>
      </x:c>
      <x:c r="N3" s="233" t="str">
        <x:v>VERIFIED</x:v>
      </x:c>
      <x:c r="O3" s="321" t="str">
        <x:v>Jumlah pekerja tertimbang; X1 = (SD+SMP+SMA+SMK)/total × 100.</x:v>
      </x:c>
    </x:row>
    <x:row r="4">
      <x:c r="A4" s="347" t="str">
        <x:v>C</x:v>
      </x:c>
      <x:c r="B4" s="233" t="str">
        <x:v>Industri Pengolahan</x:v>
      </x:c>
      <x:c r="C4" s="348" t="n">
        <x:v>5762366</x:v>
      </x:c>
      <x:c r="D4" s="348" t="n">
        <x:v>4016707</x:v>
      </x:c>
      <x:c r="E4" s="348" t="n">
        <x:v>4666247</x:v>
      </x:c>
      <x:c r="F4" s="348" t="n">
        <x:v>4535802</x:v>
      </x:c>
      <x:c r="G4" s="348" t="n">
        <x:v>346855</x:v>
      </x:c>
      <x:c r="H4" s="348" t="n">
        <x:v>980708</x:v>
      </x:c>
      <x:c r="I4" s="348" t="n">
        <x:f>SUM(C4:F4)</x:f>
        <x:v>18981122</x:v>
      </x:c>
      <x:c r="J4" s="348" t="n">
        <x:v>20308685</x:v>
      </x:c>
      <x:c r="K4" s="315" t="n">
        <x:f>IFERROR(100*I4/J4,"")</x:f>
        <x:v>93.46307749615497</x:v>
      </x:c>
      <x:c r="L4" s="233" t="str">
        <x:v>BPS_SAK25_PUB</x:v>
      </x:c>
      <x:c r="M4" s="233" t="str">
        <x:v>Tabel 69, halaman buku 103–104; PDF 160–161</x:v>
      </x:c>
      <x:c r="N4" s="233" t="str">
        <x:v>VERIFIED</x:v>
      </x:c>
      <x:c r="O4" s="321" t="str">
        <x:v>Jumlah pekerja tertimbang; X1 = (SD+SMP+SMA+SMK)/total × 100.</x:v>
      </x:c>
    </x:row>
    <x:row r="5">
      <x:c r="A5" s="347" t="str">
        <x:v>D</x:v>
      </x:c>
      <x:c r="B5" s="233" t="str">
        <x:v>Pengadaan Listrik, Gas, Uap/Air Panas, dan Udara Dingin</x:v>
      </x:c>
      <x:c r="C5" s="348" t="n">
        <x:v>34038</x:v>
      </x:c>
      <x:c r="D5" s="348" t="n">
        <x:v>33783</x:v>
      </x:c>
      <x:c r="E5" s="348" t="n">
        <x:v>103798</x:v>
      </x:c>
      <x:c r="F5" s="348" t="n">
        <x:v>110821</x:v>
      </x:c>
      <x:c r="G5" s="348" t="n">
        <x:v>21633</x:v>
      </x:c>
      <x:c r="H5" s="348" t="n">
        <x:v>59914</x:v>
      </x:c>
      <x:c r="I5" s="348" t="n">
        <x:f>SUM(C5:F5)</x:f>
        <x:v>282440</x:v>
      </x:c>
      <x:c r="J5" s="348" t="n">
        <x:v>363987</x:v>
      </x:c>
      <x:c r="K5" s="315" t="n">
        <x:f>IFERROR(100*I5/J5,"")</x:f>
        <x:v>77.59617788547394</x:v>
      </x:c>
      <x:c r="L5" s="233" t="str">
        <x:v>BPS_SAK25_PUB</x:v>
      </x:c>
      <x:c r="M5" s="233" t="str">
        <x:v>Tabel 69, halaman buku 103–104; PDF 160–161</x:v>
      </x:c>
      <x:c r="N5" s="233" t="str">
        <x:v>VERIFIED</x:v>
      </x:c>
      <x:c r="O5" s="321" t="str">
        <x:v>Jumlah pekerja tertimbang; X1 = (SD+SMP+SMA+SMK)/total × 100.</x:v>
      </x:c>
    </x:row>
    <x:row r="6">
      <x:c r="A6" s="347" t="str">
        <x:v>E</x:v>
      </x:c>
      <x:c r="B6" s="233" t="str">
        <x:v>Treatment Air, Air Limbah, Sampah, dan Remediasi</x:v>
      </x:c>
      <x:c r="C6" s="348" t="n">
        <x:v>270790</x:v>
      </x:c>
      <x:c r="D6" s="348" t="n">
        <x:v>87751</x:v>
      </x:c>
      <x:c r="E6" s="348" t="n">
        <x:v>104635</x:v>
      </x:c>
      <x:c r="F6" s="348" t="n">
        <x:v>90454</x:v>
      </x:c>
      <x:c r="G6" s="348" t="n">
        <x:v>7072</x:v>
      </x:c>
      <x:c r="H6" s="348" t="n">
        <x:v>35863</x:v>
      </x:c>
      <x:c r="I6" s="348" t="n">
        <x:f>SUM(C6:F6)</x:f>
        <x:v>553630</x:v>
      </x:c>
      <x:c r="J6" s="348" t="n">
        <x:v>596565</x:v>
      </x:c>
      <x:c r="K6" s="315" t="n">
        <x:f>IFERROR(100*I6/J6,"")</x:f>
        <x:v>92.80296363346827</x:v>
      </x:c>
      <x:c r="L6" s="233" t="str">
        <x:v>BPS_SAK25_PUB</x:v>
      </x:c>
      <x:c r="M6" s="233" t="str">
        <x:v>Tabel 69, halaman buku 103–104; PDF 160–161</x:v>
      </x:c>
      <x:c r="N6" s="233" t="str">
        <x:v>VERIFIED</x:v>
      </x:c>
      <x:c r="O6" s="321" t="str">
        <x:v>Jumlah pekerja tertimbang; X1 = (SD+SMP+SMA+SMK)/total × 100.</x:v>
      </x:c>
    </x:row>
    <x:row r="7">
      <x:c r="A7" s="347" t="str">
        <x:v>F</x:v>
      </x:c>
      <x:c r="B7" s="233" t="str">
        <x:v>Konstruksi</x:v>
      </x:c>
      <x:c r="C7" s="348" t="n">
        <x:v>3830024</x:v>
      </x:c>
      <x:c r="D7" s="348" t="n">
        <x:v>2445596</x:v>
      </x:c>
      <x:c r="E7" s="348" t="n">
        <x:v>1676163</x:v>
      </x:c>
      <x:c r="F7" s="348" t="n">
        <x:v>1170381</x:v>
      </x:c>
      <x:c r="G7" s="348" t="n">
        <x:v>84035</x:v>
      </x:c>
      <x:c r="H7" s="348" t="n">
        <x:v>337059</x:v>
      </x:c>
      <x:c r="I7" s="348" t="n">
        <x:f>SUM(C7:F7)</x:f>
        <x:v>9122164</x:v>
      </x:c>
      <x:c r="J7" s="348" t="n">
        <x:v>9543258</x:v>
      </x:c>
      <x:c r="K7" s="315" t="n">
        <x:f>IFERROR(100*I7/J7,"")</x:f>
        <x:v>95.587523673781</x:v>
      </x:c>
      <x:c r="L7" s="233" t="str">
        <x:v>BPS_SAK25_PUB</x:v>
      </x:c>
      <x:c r="M7" s="233" t="str">
        <x:v>Tabel 69, halaman buku 103–104; PDF 160–161</x:v>
      </x:c>
      <x:c r="N7" s="233" t="str">
        <x:v>VERIFIED</x:v>
      </x:c>
      <x:c r="O7" s="321" t="str">
        <x:v>Jumlah pekerja tertimbang; X1 = (SD+SMP+SMA+SMK)/total × 100.</x:v>
      </x:c>
    </x:row>
    <x:row r="8">
      <x:c r="A8" s="347" t="str">
        <x:v>G</x:v>
      </x:c>
      <x:c r="B8" s="233" t="str">
        <x:v>Perdagangan Besar dan Eceran; Reparasi Mobil dan Motor</x:v>
      </x:c>
      <x:c r="C8" s="348" t="n">
        <x:v>7257798</x:v>
      </x:c>
      <x:c r="D8" s="348" t="n">
        <x:v>5124325</x:v>
      </x:c>
      <x:c r="E8" s="348" t="n">
        <x:v>7306935</x:v>
      </x:c>
      <x:c r="F8" s="348" t="n">
        <x:v>5234097</x:v>
      </x:c>
      <x:c r="G8" s="348" t="n">
        <x:v>557595</x:v>
      </x:c>
      <x:c r="H8" s="348" t="n">
        <x:v>1972202</x:v>
      </x:c>
      <x:c r="I8" s="348" t="n">
        <x:f>SUM(C8:F8)</x:f>
        <x:v>24923155</x:v>
      </x:c>
      <x:c r="J8" s="348" t="n">
        <x:v>27452952</x:v>
      </x:c>
      <x:c r="K8" s="315" t="n">
        <x:f>IFERROR(100*I8/J8,"")</x:f>
        <x:v>90.78497277815515</x:v>
      </x:c>
      <x:c r="L8" s="233" t="str">
        <x:v>BPS_SAK25_PUB</x:v>
      </x:c>
      <x:c r="M8" s="233" t="str">
        <x:v>Tabel 69, halaman buku 103–104; PDF 160–161</x:v>
      </x:c>
      <x:c r="N8" s="233" t="str">
        <x:v>VERIFIED</x:v>
      </x:c>
      <x:c r="O8" s="321" t="str">
        <x:v>Jumlah pekerja tertimbang; X1 = (SD+SMP+SMA+SMK)/total × 100.</x:v>
      </x:c>
    </x:row>
    <x:row r="9">
      <x:c r="A9" s="347" t="str">
        <x:v>H</x:v>
      </x:c>
      <x:c r="B9" s="233" t="str">
        <x:v>Pengangkutan dan Pergudangan</x:v>
      </x:c>
      <x:c r="C9" s="348" t="n">
        <x:v>1359539</x:v>
      </x:c>
      <x:c r="D9" s="348" t="n">
        <x:v>1066667</x:v>
      </x:c>
      <x:c r="E9" s="348" t="n">
        <x:v>1900439</x:v>
      </x:c>
      <x:c r="F9" s="348" t="n">
        <x:v>1369876</x:v>
      </x:c>
      <x:c r="G9" s="348" t="n">
        <x:v>167565</x:v>
      </x:c>
      <x:c r="H9" s="348" t="n">
        <x:v>406834</x:v>
      </x:c>
      <x:c r="I9" s="348" t="n">
        <x:f>SUM(C9:F9)</x:f>
        <x:v>5696521</x:v>
      </x:c>
      <x:c r="J9" s="348" t="n">
        <x:v>6270920</x:v>
      </x:c>
      <x:c r="K9" s="315" t="n">
        <x:f>IFERROR(100*I9/J9,"")</x:f>
        <x:v>90.84027543008044</x:v>
      </x:c>
      <x:c r="L9" s="233" t="str">
        <x:v>BPS_SAK25_PUB</x:v>
      </x:c>
      <x:c r="M9" s="233" t="str">
        <x:v>Tabel 69, halaman buku 103–104; PDF 160–161</x:v>
      </x:c>
      <x:c r="N9" s="233" t="str">
        <x:v>VERIFIED</x:v>
      </x:c>
      <x:c r="O9" s="321" t="str">
        <x:v>Jumlah pekerja tertimbang; X1 = (SD+SMP+SMA+SMK)/total × 100.</x:v>
      </x:c>
    </x:row>
    <x:row r="10">
      <x:c r="A10" s="347" t="str">
        <x:v>I</x:v>
      </x:c>
      <x:c r="B10" s="233" t="str">
        <x:v>Penyediaan Akomodasi dan Makan Minum</x:v>
      </x:c>
      <x:c r="C10" s="348" t="n">
        <x:v>3394686</x:v>
      </x:c>
      <x:c r="D10" s="348" t="n">
        <x:v>2458256</x:v>
      </x:c>
      <x:c r="E10" s="348" t="n">
        <x:v>2911339</x:v>
      </x:c>
      <x:c r="F10" s="348" t="n">
        <x:v>2113776</x:v>
      </x:c>
      <x:c r="G10" s="348" t="n">
        <x:v>244095</x:v>
      </x:c>
      <x:c r="H10" s="348" t="n">
        <x:v>570427</x:v>
      </x:c>
      <x:c r="I10" s="348" t="n">
        <x:f>SUM(C10:F10)</x:f>
        <x:v>10878057</x:v>
      </x:c>
      <x:c r="J10" s="348" t="n">
        <x:v>11692579</x:v>
      </x:c>
      <x:c r="K10" s="315" t="n">
        <x:f>IFERROR(100*I10/J10,"")</x:f>
        <x:v>93.03385506311311</x:v>
      </x:c>
      <x:c r="L10" s="233" t="str">
        <x:v>BPS_SAK25_PUB</x:v>
      </x:c>
      <x:c r="M10" s="233" t="str">
        <x:v>Tabel 69, halaman buku 103–104; PDF 160–161</x:v>
      </x:c>
      <x:c r="N10" s="233" t="str">
        <x:v>VERIFIED</x:v>
      </x:c>
      <x:c r="O10" s="321" t="str">
        <x:v>Jumlah pekerja tertimbang; X1 = (SD+SMP+SMA+SMK)/total × 100.</x:v>
      </x:c>
    </x:row>
    <x:row r="11">
      <x:c r="A11" s="347" t="str">
        <x:v>J</x:v>
      </x:c>
      <x:c r="B11" s="233" t="str">
        <x:v>Informasi dan Komunikasi</x:v>
      </x:c>
      <x:c r="C11" s="348" t="n">
        <x:v>48585</x:v>
      </x:c>
      <x:c r="D11" s="348" t="n">
        <x:v>87643</x:v>
      </x:c>
      <x:c r="E11" s="348" t="n">
        <x:v>306205</x:v>
      </x:c>
      <x:c r="F11" s="348" t="n">
        <x:v>253531</x:v>
      </x:c>
      <x:c r="G11" s="348" t="n">
        <x:v>54828</x:v>
      </x:c>
      <x:c r="H11" s="348" t="n">
        <x:v>313565</x:v>
      </x:c>
      <x:c r="I11" s="348" t="n">
        <x:f>SUM(C11:F11)</x:f>
        <x:v>695964</x:v>
      </x:c>
      <x:c r="J11" s="348" t="n">
        <x:v>1064357</x:v>
      </x:c>
      <x:c r="K11" s="315" t="n">
        <x:f>IFERROR(100*I11/J11,"")</x:f>
        <x:v>65.38821091043701</x:v>
      </x:c>
      <x:c r="L11" s="233" t="str">
        <x:v>BPS_SAK25_PUB</x:v>
      </x:c>
      <x:c r="M11" s="233" t="str">
        <x:v>Tabel 69, halaman buku 103–104; PDF 160–161</x:v>
      </x:c>
      <x:c r="N11" s="233" t="str">
        <x:v>VERIFIED</x:v>
      </x:c>
      <x:c r="O11" s="321" t="str">
        <x:v>Jumlah pekerja tertimbang; X1 = (SD+SMP+SMA+SMK)/total × 100.</x:v>
      </x:c>
    </x:row>
    <x:row r="12">
      <x:c r="A12" s="347" t="str">
        <x:v>K</x:v>
      </x:c>
      <x:c r="B12" s="233" t="str">
        <x:v>Aktivitas Keuangan dan Asuransi</x:v>
      </x:c>
      <x:c r="C12" s="348" t="n">
        <x:v>35808</x:v>
      </x:c>
      <x:c r="D12" s="348" t="n">
        <x:v>66951</x:v>
      </x:c>
      <x:c r="E12" s="348" t="n">
        <x:v>438558</x:v>
      </x:c>
      <x:c r="F12" s="348" t="n">
        <x:v>309183</x:v>
      </x:c>
      <x:c r="G12" s="348" t="n">
        <x:v>95202</x:v>
      </x:c>
      <x:c r="H12" s="348" t="n">
        <x:v>704375</x:v>
      </x:c>
      <x:c r="I12" s="348" t="n">
        <x:f>SUM(C12:F12)</x:f>
        <x:v>850500</x:v>
      </x:c>
      <x:c r="J12" s="348" t="n">
        <x:v>1650077</x:v>
      </x:c>
      <x:c r="K12" s="315" t="n">
        <x:f>IFERROR(100*I12/J12,"")</x:f>
        <x:v>51.5430492031584</x:v>
      </x:c>
      <x:c r="L12" s="233" t="str">
        <x:v>BPS_SAK25_PUB</x:v>
      </x:c>
      <x:c r="M12" s="233" t="str">
        <x:v>Tabel 69, halaman buku 103–104; PDF 160–161</x:v>
      </x:c>
      <x:c r="N12" s="233" t="str">
        <x:v>VERIFIED</x:v>
      </x:c>
      <x:c r="O12" s="321" t="str">
        <x:v>Jumlah pekerja tertimbang; X1 = (SD+SMP+SMA+SMK)/total × 100.</x:v>
      </x:c>
    </x:row>
    <x:row r="13">
      <x:c r="A13" s="347" t="str">
        <x:v>L</x:v>
      </x:c>
      <x:c r="B13" s="233" t="str">
        <x:v>Real Estat</x:v>
      </x:c>
      <x:c r="C13" s="348" t="n">
        <x:v>94137</x:v>
      </x:c>
      <x:c r="D13" s="348" t="n">
        <x:v>63121</x:v>
      </x:c>
      <x:c r="E13" s="348" t="n">
        <x:v>147681</x:v>
      </x:c>
      <x:c r="F13" s="348" t="n">
        <x:v>81430</x:v>
      </x:c>
      <x:c r="G13" s="348" t="n">
        <x:v>24121</x:v>
      </x:c>
      <x:c r="H13" s="348" t="n">
        <x:v>98664</x:v>
      </x:c>
      <x:c r="I13" s="348" t="n">
        <x:f>SUM(C13:F13)</x:f>
        <x:v>386369</x:v>
      </x:c>
      <x:c r="J13" s="348" t="n">
        <x:v>509154</x:v>
      </x:c>
      <x:c r="K13" s="315" t="n">
        <x:f>IFERROR(100*I13/J13,"")</x:f>
        <x:v>75.88450645580708</x:v>
      </x:c>
      <x:c r="L13" s="233" t="str">
        <x:v>BPS_SAK25_PUB</x:v>
      </x:c>
      <x:c r="M13" s="233" t="str">
        <x:v>Tabel 69, halaman buku 103–104; PDF 160–161</x:v>
      </x:c>
      <x:c r="N13" s="233" t="str">
        <x:v>VERIFIED</x:v>
      </x:c>
      <x:c r="O13" s="321" t="str">
        <x:v>Jumlah pekerja tertimbang; X1 = (SD+SMP+SMA+SMK)/total × 100.</x:v>
      </x:c>
    </x:row>
    <x:row r="14">
      <x:c r="A14" s="347" t="str">
        <x:v>M,N</x:v>
      </x:c>
      <x:c r="B14" s="233" t="str">
        <x:v>Aktivitas Profesional, Perusahaan, Administratif, dan Pendukung</x:v>
      </x:c>
      <x:c r="C14" s="348" t="n">
        <x:v>264789</x:v>
      </x:c>
      <x:c r="D14" s="348" t="n">
        <x:v>298811</x:v>
      </x:c>
      <x:c r="E14" s="348" t="n">
        <x:v>737275</x:v>
      </x:c>
      <x:c r="F14" s="348" t="n">
        <x:v>597656</x:v>
      </x:c>
      <x:c r="G14" s="348" t="n">
        <x:v>114088</x:v>
      </x:c>
      <x:c r="H14" s="348" t="n">
        <x:v>568997</x:v>
      </x:c>
      <x:c r="I14" s="348" t="n">
        <x:f>SUM(C14:F14)</x:f>
        <x:v>1898531</x:v>
      </x:c>
      <x:c r="J14" s="348" t="n">
        <x:v>2581616</x:v>
      </x:c>
      <x:c r="K14" s="315" t="n">
        <x:f>IFERROR(100*I14/J14,"")</x:f>
        <x:v>73.54041034762723</x:v>
      </x:c>
      <x:c r="L14" s="233" t="str">
        <x:v>BPS_SAK25_PUB</x:v>
      </x:c>
      <x:c r="M14" s="233" t="str">
        <x:v>Tabel 69, halaman buku 103–104; PDF 160–161</x:v>
      </x:c>
      <x:c r="N14" s="233" t="str">
        <x:v>VERIFIED</x:v>
      </x:c>
      <x:c r="O14" s="321" t="str">
        <x:v>Jumlah pekerja tertimbang; X1 = (SD+SMP+SMA+SMK)/total × 100.</x:v>
      </x:c>
    </x:row>
    <x:row r="15">
      <x:c r="A15" s="347" t="str">
        <x:v>O</x:v>
      </x:c>
      <x:c r="B15" s="233" t="str">
        <x:v>Administrasi Pemerintahan, Pertahanan, dan Jaminan Sosial</x:v>
      </x:c>
      <x:c r="C15" s="348" t="n">
        <x:v>160162</x:v>
      </x:c>
      <x:c r="D15" s="348" t="n">
        <x:v>140413</x:v>
      </x:c>
      <x:c r="E15" s="348" t="n">
        <x:v>1677625</x:v>
      </x:c>
      <x:c r="F15" s="348" t="n">
        <x:v>633567</x:v>
      </x:c>
      <x:c r="G15" s="348" t="n">
        <x:v>262936</x:v>
      </x:c>
      <x:c r="H15" s="348" t="n">
        <x:v>2255767</x:v>
      </x:c>
      <x:c r="I15" s="348" t="n">
        <x:f>SUM(C15:F15)</x:f>
        <x:v>2611767</x:v>
      </x:c>
      <x:c r="J15" s="348" t="n">
        <x:v>5130470</x:v>
      </x:c>
      <x:c r="K15" s="315" t="n">
        <x:f>IFERROR(100*I15/J15,"")</x:f>
        <x:v>50.90697343518235</x:v>
      </x:c>
      <x:c r="L15" s="233" t="str">
        <x:v>BPS_SAK25_PUB</x:v>
      </x:c>
      <x:c r="M15" s="233" t="str">
        <x:v>Tabel 69, halaman buku 103–104; PDF 160–161</x:v>
      </x:c>
      <x:c r="N15" s="233" t="str">
        <x:v>VERIFIED</x:v>
      </x:c>
      <x:c r="O15" s="321" t="str">
        <x:v>Jumlah pekerja tertimbang; X1 = (SD+SMP+SMA+SMK)/total × 100.</x:v>
      </x:c>
    </x:row>
    <x:row r="16">
      <x:c r="A16" s="347" t="str">
        <x:v>P</x:v>
      </x:c>
      <x:c r="B16" s="233" t="str">
        <x:v>Pendidikan</x:v>
      </x:c>
      <x:c r="C16" s="348" t="n">
        <x:v>191088</x:v>
      </x:c>
      <x:c r="D16" s="348" t="n">
        <x:v>191383</x:v>
      </x:c>
      <x:c r="E16" s="348" t="n">
        <x:v>1052419</x:v>
      </x:c>
      <x:c r="F16" s="348" t="n">
        <x:v>360251</x:v>
      </x:c>
      <x:c r="G16" s="348" t="n">
        <x:v>201353</x:v>
      </x:c>
      <x:c r="H16" s="348" t="n">
        <x:v>5417231</x:v>
      </x:c>
      <x:c r="I16" s="348" t="n">
        <x:f>SUM(C16:F16)</x:f>
        <x:v>1795141</x:v>
      </x:c>
      <x:c r="J16" s="348" t="n">
        <x:v>7413725</x:v>
      </x:c>
      <x:c r="K16" s="315" t="n">
        <x:f>IFERROR(100*I16/J16,"")</x:f>
        <x:v>24.213752196095754</x:v>
      </x:c>
      <x:c r="L16" s="233" t="str">
        <x:v>BPS_SAK25_PUB</x:v>
      </x:c>
      <x:c r="M16" s="233" t="str">
        <x:v>Tabel 69, halaman buku 103–104; PDF 160–161</x:v>
      </x:c>
      <x:c r="N16" s="233" t="str">
        <x:v>VERIFIED</x:v>
      </x:c>
      <x:c r="O16" s="321" t="str">
        <x:v>Jumlah pekerja tertimbang; X1 = (SD+SMP+SMA+SMK)/total × 100.</x:v>
      </x:c>
    </x:row>
    <x:row r="17">
      <x:c r="A17" s="347" t="str">
        <x:v>Q</x:v>
      </x:c>
      <x:c r="B17" s="233" t="str">
        <x:v>Aktivitas Kesehatan dan Aktivitas Sosial</x:v>
      </x:c>
      <x:c r="C17" s="348" t="n">
        <x:v>166714</x:v>
      </x:c>
      <x:c r="D17" s="348" t="n">
        <x:v>89986</x:v>
      </x:c>
      <x:c r="E17" s="348" t="n">
        <x:v>321688</x:v>
      </x:c>
      <x:c r="F17" s="348" t="n">
        <x:v>220381</x:v>
      </x:c>
      <x:c r="G17" s="348" t="n">
        <x:v>734076</x:v>
      </x:c>
      <x:c r="H17" s="348" t="n">
        <x:v>925722</x:v>
      </x:c>
      <x:c r="I17" s="348" t="n">
        <x:f>SUM(C17:F17)</x:f>
        <x:v>798769</x:v>
      </x:c>
      <x:c r="J17" s="348" t="n">
        <x:v>2458567</x:v>
      </x:c>
      <x:c r="K17" s="315" t="n">
        <x:f>IFERROR(100*I17/J17,"")</x:f>
        <x:v>32.48921017812409</x:v>
      </x:c>
      <x:c r="L17" s="233" t="str">
        <x:v>BPS_SAK25_PUB</x:v>
      </x:c>
      <x:c r="M17" s="233" t="str">
        <x:v>Tabel 69, halaman buku 103–104; PDF 160–161</x:v>
      </x:c>
      <x:c r="N17" s="233" t="str">
        <x:v>VERIFIED</x:v>
      </x:c>
      <x:c r="O17" s="321" t="str">
        <x:v>Jumlah pekerja tertimbang; X1 = (SD+SMP+SMA+SMK)/total × 100.</x:v>
      </x:c>
    </x:row>
    <x:row r="18">
      <x:c r="A18" s="349" t="str">
        <x:v>R,S,T,U</x:v>
      </x:c>
      <x:c r="B18" s="286" t="str">
        <x:v>Aktivitas Jasa Lainnya</x:v>
      </x:c>
      <x:c r="C18" s="350" t="n">
        <x:v>2286418</x:v>
      </x:c>
      <x:c r="D18" s="350" t="n">
        <x:v>1311586</x:v>
      </x:c>
      <x:c r="E18" s="350" t="n">
        <x:v>1475371</x:v>
      </x:c>
      <x:c r="F18" s="350" t="n">
        <x:v>910999</x:v>
      </x:c>
      <x:c r="G18" s="350" t="n">
        <x:v>110512</x:v>
      </x:c>
      <x:c r="H18" s="350" t="n">
        <x:v>434535</x:v>
      </x:c>
      <x:c r="I18" s="350" t="n">
        <x:f>SUM(C18:F18)</x:f>
        <x:v>5984374</x:v>
      </x:c>
      <x:c r="J18" s="350" t="n">
        <x:v>6529421</x:v>
      </x:c>
      <x:c r="K18" s="317" t="n">
        <x:f>IFERROR(100*I18/J18,"")</x:f>
        <x:v>91.65244514023526</x:v>
      </x:c>
      <x:c r="L18" s="286" t="str">
        <x:v>BPS_SAK25_PUB</x:v>
      </x:c>
      <x:c r="M18" s="286" t="str">
        <x:v>Tabel 69, halaman buku 103–104; PDF 160–161</x:v>
      </x:c>
      <x:c r="N18" s="286" t="str">
        <x:v>VERIFIED</x:v>
      </x:c>
      <x:c r="O18" s="323" t="str">
        <x:v>Jumlah pekerja tertimbang; X1 = (SD+SMP+SMA+SMK)/total × 100.</x:v>
      </x:c>
    </x:row>
    <x:row r="19">
      <x:c r="A19" s="257"/>
      <x:c r="B19" s="257"/>
      <x:c r="C19" s="257"/>
      <x:c r="D19" s="257"/>
      <x:c r="E19" s="257"/>
      <x:c r="F19" s="257"/>
      <x:c r="G19" s="257"/>
      <x:c r="H19" s="257"/>
      <x:c r="I19" s="257"/>
      <x:c r="J19" s="257"/>
      <x:c r="K19" s="257"/>
      <x:c r="L19" s="257"/>
      <x:c r="M19" s="257"/>
      <x:c r="N19" s="257"/>
      <x:c r="O19" s="257"/>
    </x:row>
    <x:row r="20">
      <x:c r="A20" s="360" t="str">
        <x:v>Catatan kelayakan: Tabel 69 cukup untuk menghitung X1 pada sektor kategori KBLI 2020. Tabel publikasi ini tidak memuat kombinasi sektor × okupasi, sehingga tidak dapat digunakan sendiri untuk menghitung X2 atau X3.</x:v>
      </x:c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2"/>
    </x:row>
    <x:row r="21">
      <x:c r="A21" s="363"/>
      <x:c r="B21" s="364"/>
      <x:c r="C21" s="364"/>
      <x:c r="D21" s="364"/>
      <x:c r="E21" s="364"/>
      <x:c r="F21" s="364"/>
      <x:c r="G21" s="364"/>
      <x:c r="H21" s="364"/>
      <x:c r="I21" s="364"/>
      <x:c r="J21" s="364"/>
      <x:c r="K21" s="364"/>
      <x:c r="L21" s="364"/>
      <x:c r="M21" s="364"/>
      <x:c r="N21" s="364"/>
      <x:c r="O21" s="365"/>
    </x:row>
    <x:row r="22">
      <x:c r="A22" s="366"/>
      <x:c r="B22" s="367"/>
      <x:c r="C22" s="367"/>
      <x:c r="D22" s="367"/>
      <x:c r="E22" s="367"/>
      <x:c r="F22" s="367"/>
      <x:c r="G22" s="367"/>
      <x:c r="H22" s="367"/>
      <x:c r="I22" s="367"/>
      <x:c r="J22" s="367"/>
      <x:c r="K22" s="367"/>
      <x:c r="L22" s="367"/>
      <x:c r="M22" s="367"/>
      <x:c r="N22" s="367"/>
      <x:c r="O22" s="368"/>
    </x:row>
  </x:sheetData>
  <x:mergeCells>
    <x:mergeCell ref="A20:O22"/>
  </x:mergeCells>
  <x:conditionalFormatting sqref="N2:N18">
    <x:cfRule type="containsText" dxfId="95" priority="1" operator="containsText" text="BLOCKED"/>
    <x:cfRule type="containsText" dxfId="96" priority="2" operator="containsText" text="ERROR"/>
    <x:cfRule type="containsText" dxfId="97" priority="3" operator="containsText" text="READY"/>
    <x:cfRule type="containsText" dxfId="98" priority="4" operator="containsText" text="VERIFIED"/>
    <x:cfRule type="containsText" dxfId="99" priority="5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8c1331ef90d94357"/>
  </x:tableParts>
</x:worksheet>
</file>